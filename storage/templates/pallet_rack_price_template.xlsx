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510" yWindow="585" windowWidth="27735" windowHeight="11700"/>
  </bookViews>
  <sheets>
    <sheet name="기둥세트단가" sheetId="1" r:id="rId1"/>
    <sheet name="로드빔세트단가" sheetId="2" r:id="rId2"/>
    <sheet name="타이빔단가" sheetId="3" r:id="rId3"/>
    <sheet name="자동계산_세트단가_미리보기" sheetId="4" r:id="rId4"/>
  </sheets>
  <calcPr calcId="125725"/>
</workbook>
</file>

<file path=xl/calcChain.xml><?xml version="1.0" encoding="utf-8"?>
<calcChain xmlns="http://schemas.openxmlformats.org/spreadsheetml/2006/main">
  <c r="H22" i="4"/>
  <c r="G22"/>
  <c r="F22"/>
  <c r="E22"/>
  <c r="D22"/>
  <c r="H21"/>
  <c r="G21"/>
  <c r="F21"/>
  <c r="E21"/>
  <c r="D21"/>
  <c r="H20"/>
  <c r="G20"/>
  <c r="F20"/>
  <c r="E20"/>
  <c r="D20"/>
  <c r="H19"/>
  <c r="G19"/>
  <c r="F19"/>
  <c r="E19"/>
  <c r="D19"/>
  <c r="H18"/>
  <c r="G18"/>
  <c r="F18"/>
  <c r="E18"/>
  <c r="D18"/>
  <c r="H17"/>
  <c r="G17"/>
  <c r="F17"/>
  <c r="E17"/>
  <c r="D17"/>
  <c r="H16"/>
  <c r="G16"/>
  <c r="F16"/>
  <c r="E16"/>
  <c r="D16"/>
  <c r="H15"/>
  <c r="G15"/>
  <c r="F15"/>
  <c r="E15"/>
  <c r="D15"/>
  <c r="H14"/>
  <c r="G14"/>
  <c r="F14"/>
  <c r="E14"/>
  <c r="D14"/>
  <c r="H13"/>
  <c r="G13"/>
  <c r="F13"/>
  <c r="E13"/>
  <c r="D13"/>
  <c r="H12"/>
  <c r="G12"/>
  <c r="F12"/>
  <c r="E12"/>
  <c r="D12"/>
  <c r="H11"/>
  <c r="G11"/>
  <c r="F11"/>
  <c r="E11"/>
  <c r="D11"/>
  <c r="H10"/>
  <c r="G10"/>
  <c r="F10"/>
  <c r="E10"/>
  <c r="D10"/>
  <c r="H9"/>
  <c r="G9"/>
  <c r="F9"/>
  <c r="E9"/>
  <c r="D9"/>
  <c r="H8"/>
  <c r="G8"/>
  <c r="F8"/>
  <c r="E8"/>
  <c r="D8"/>
  <c r="H7"/>
  <c r="G7"/>
  <c r="F7"/>
  <c r="E7"/>
  <c r="D7"/>
  <c r="H6"/>
  <c r="G6"/>
  <c r="F6"/>
  <c r="E6"/>
  <c r="D6"/>
  <c r="H5"/>
  <c r="G5"/>
  <c r="F5"/>
  <c r="E5"/>
  <c r="D5"/>
</calcChain>
</file>

<file path=xl/sharedStrings.xml><?xml version="1.0" encoding="utf-8"?>
<sst xmlns="http://schemas.openxmlformats.org/spreadsheetml/2006/main" count="195" uniqueCount="73">
  <si>
    <t>파렛트랙 기둥(포스트) 세트 단가표</t>
  </si>
  <si>
    <t>※ 구성: 기둥 2개 + 수평/경사 브레싱 일체 + 베이스플레이트 2개 + 앙카볼트 4개 (완제품 1판 기준)</t>
  </si>
  <si>
    <t>※ 노란색 셀에 높이 및 깊이별 세트 단가(원)를 입력하세요.</t>
  </si>
  <si>
    <t>높이(H) \ 깊이(D)</t>
  </si>
  <si>
    <t>900D (원)</t>
  </si>
  <si>
    <t>1000D [기본] (원)</t>
  </si>
  <si>
    <t>1100D (원)</t>
  </si>
  <si>
    <t>1200D (원)</t>
  </si>
  <si>
    <t>1300D (원)</t>
  </si>
  <si>
    <t>1,500 H</t>
  </si>
  <si>
    <t>2,000 H</t>
  </si>
  <si>
    <t>2,500 H</t>
  </si>
  <si>
    <t>3,000 H</t>
  </si>
  <si>
    <t>3,500 H</t>
  </si>
  <si>
    <t>4,000 H</t>
  </si>
  <si>
    <t>4,500 H</t>
  </si>
  <si>
    <t>5,000 H</t>
  </si>
  <si>
    <t>5,500 H</t>
  </si>
  <si>
    <t>6,000 H</t>
  </si>
  <si>
    <t>6,500 H</t>
  </si>
  <si>
    <t>7,000 H</t>
  </si>
  <si>
    <t>파렛트랙 로드빔 세트 단가표 (순수 로드빔 기준)</t>
  </si>
  <si>
    <t>※ 구성: 로드빔 2가닥(앞/뒤 1단용) + 안전핀 4개 일체 (타이빔 미포함 순수 로드빔 세트가)</t>
  </si>
  <si>
    <t>※ 노란색 셀에 로드빔 규격별 순수 세트 단가(원)만 18칸 입력하세요. (최종 견적 시 타이빔 단가가 자동 합산됩니다)</t>
  </si>
  <si>
    <t>연번</t>
  </si>
  <si>
    <t>로드빔 길이(L)</t>
  </si>
  <si>
    <t>바 규격</t>
  </si>
  <si>
    <t>기본 장착 타이빔수</t>
  </si>
  <si>
    <t>순수 로드빔 세트단가 (원)</t>
  </si>
  <si>
    <t>비고 (용도)</t>
  </si>
  <si>
    <t>1,385 mm</t>
  </si>
  <si>
    <t>100바</t>
  </si>
  <si>
    <t>2 EA</t>
  </si>
  <si>
    <t>1파렛트 적재용 (소형랙)</t>
  </si>
  <si>
    <t>125바</t>
  </si>
  <si>
    <t>150바</t>
  </si>
  <si>
    <t>1,485 mm</t>
  </si>
  <si>
    <t>1,585 mm</t>
  </si>
  <si>
    <t>2,585 mm</t>
  </si>
  <si>
    <t>4 EA</t>
  </si>
  <si>
    <t>2파렛트 적재용 (표준랙)</t>
  </si>
  <si>
    <t>2,785 mm</t>
  </si>
  <si>
    <t>2,985 mm</t>
  </si>
  <si>
    <t>파렛트랙 타이빔 개당 단가표</t>
  </si>
  <si>
    <t>※ 세트 견적 계산 시 로드빔에 합산되며, 단품 추가 주문 시에도 공용 사용되는 핵심 기준 단가입니다.</t>
  </si>
  <si>
    <t>※ 노란색 셀에 깊이 규격별 타이빔 1개당 단가(원)를 5칸 입력하세요.</t>
  </si>
  <si>
    <t>적용 프레임 깊이(D)</t>
  </si>
  <si>
    <t>타이빔 규격(길이)</t>
  </si>
  <si>
    <t>단위</t>
  </si>
  <si>
    <t>개당 단가 (원)</t>
  </si>
  <si>
    <t>비고</t>
  </si>
  <si>
    <t>900D</t>
  </si>
  <si>
    <t>900 mm용</t>
  </si>
  <si>
    <t>1 EA</t>
  </si>
  <si>
    <t>협폭용 규격</t>
  </si>
  <si>
    <t>1000D</t>
  </si>
  <si>
    <t>1000 mm용</t>
  </si>
  <si>
    <t>국내 표준 규격 (T-11형 파렛트용)</t>
  </si>
  <si>
    <t>1100D</t>
  </si>
  <si>
    <t>1100 mm용</t>
  </si>
  <si>
    <t>광폭/대형 파렛트용</t>
  </si>
  <si>
    <t>1200D</t>
  </si>
  <si>
    <t>1200 mm용</t>
  </si>
  <si>
    <t>1300D</t>
  </si>
  <si>
    <t>1300 mm용</t>
  </si>
  <si>
    <t>[자동 계산] 로드빔 1단 완제품 세트단가 시뮬레이션</t>
  </si>
  <si>
    <t>※ 수식: 순수로드빔단가 + (타이빔단가 × 기본타이빔수) | 앞의 '로드빔세트단가'와 '타이빔단가' 시트의 값을 참조하여 자동 계산됩니다.</t>
  </si>
  <si>
    <t>타이빔수</t>
  </si>
  <si>
    <t>900D 세트가</t>
  </si>
  <si>
    <t>1000D 세트가 (기본)</t>
  </si>
  <si>
    <t>1100D 세트가</t>
  </si>
  <si>
    <t>1200D 세트가</t>
  </si>
  <si>
    <t>1300D 세트가</t>
  </si>
</sst>
</file>

<file path=xl/styles.xml><?xml version="1.0" encoding="utf-8"?>
<styleSheet xmlns="http://schemas.openxmlformats.org/spreadsheetml/2006/main">
  <fonts count="8">
    <font>
      <sz val="11"/>
      <color theme="1"/>
      <name val="맑은 고딕"/>
      <family val="2"/>
      <scheme val="minor"/>
    </font>
    <font>
      <b/>
      <sz val="13"/>
      <color rgb="FF1F2937"/>
      <name val="Malgun Gothic"/>
      <family val="3"/>
      <charset val="129"/>
    </font>
    <font>
      <i/>
      <sz val="9"/>
      <color rgb="FF4B5563"/>
      <name val="Malgun Gothic"/>
      <family val="3"/>
      <charset val="129"/>
    </font>
    <font>
      <sz val="9"/>
      <color rgb="FF6B7280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b/>
      <sz val="10"/>
      <color rgb="FF1F2937"/>
      <name val="Malgun Gothic"/>
      <family val="3"/>
      <charset val="129"/>
    </font>
    <font>
      <sz val="10"/>
      <color rgb="FF1F2937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FEF3C7"/>
        <bgColor rgb="FFFEF3C7"/>
      </patternFill>
    </fill>
    <fill>
      <patternFill patternType="solid">
        <fgColor rgb="FF2563EB"/>
        <bgColor rgb="FF2563EB"/>
      </patternFill>
    </fill>
    <fill>
      <patternFill patternType="solid">
        <fgColor rgb="FF0D9488"/>
        <bgColor rgb="FF0D9488"/>
      </patternFill>
    </fill>
    <fill>
      <patternFill patternType="solid">
        <fgColor rgb="FFEFF6FF"/>
        <bgColor rgb="FFEFF6FF"/>
      </patternFill>
    </fill>
    <fill>
      <patternFill patternType="solid">
        <fgColor rgb="FFF8FAFC"/>
        <b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6" fillId="3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3" fontId="6" fillId="7" borderId="1" xfId="0" applyNumberFormat="1" applyFont="1" applyFill="1" applyBorder="1" applyAlignment="1">
      <alignment horizontal="right" vertical="center"/>
    </xf>
    <xf numFmtId="3" fontId="6" fillId="6" borderId="1" xfId="0" applyNumberFormat="1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6.5"/>
  <cols>
    <col min="1" max="1" width="32.375" customWidth="1"/>
    <col min="2" max="2" width="14.25" customWidth="1"/>
    <col min="3" max="3" width="19.125" customWidth="1"/>
    <col min="4" max="6" width="14" customWidth="1"/>
  </cols>
  <sheetData>
    <row r="1" spans="1:6" ht="19.5">
      <c r="A1" s="1" t="s">
        <v>0</v>
      </c>
    </row>
    <row r="2" spans="1:6">
      <c r="A2" s="2" t="s">
        <v>1</v>
      </c>
    </row>
    <row r="3" spans="1:6">
      <c r="A3" s="3" t="s">
        <v>2</v>
      </c>
    </row>
    <row r="5" spans="1:6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>
      <c r="A6" s="5" t="s">
        <v>9</v>
      </c>
      <c r="B6" s="6"/>
      <c r="C6" s="6"/>
      <c r="D6" s="6"/>
      <c r="E6" s="6"/>
      <c r="F6" s="6"/>
    </row>
    <row r="7" spans="1:6">
      <c r="A7" s="5" t="s">
        <v>10</v>
      </c>
      <c r="B7" s="6"/>
      <c r="C7" s="6"/>
      <c r="D7" s="6"/>
      <c r="E7" s="6"/>
      <c r="F7" s="6"/>
    </row>
    <row r="8" spans="1:6">
      <c r="A8" s="5" t="s">
        <v>11</v>
      </c>
      <c r="B8" s="6"/>
      <c r="C8" s="6"/>
      <c r="D8" s="6"/>
      <c r="E8" s="6"/>
      <c r="F8" s="6"/>
    </row>
    <row r="9" spans="1:6">
      <c r="A9" s="5" t="s">
        <v>12</v>
      </c>
      <c r="B9" s="6"/>
      <c r="C9" s="6"/>
      <c r="D9" s="6"/>
      <c r="E9" s="6"/>
      <c r="F9" s="6"/>
    </row>
    <row r="10" spans="1:6">
      <c r="A10" s="5" t="s">
        <v>13</v>
      </c>
      <c r="B10" s="6"/>
      <c r="C10" s="6"/>
      <c r="D10" s="6"/>
      <c r="E10" s="6"/>
      <c r="F10" s="6"/>
    </row>
    <row r="11" spans="1:6">
      <c r="A11" s="5" t="s">
        <v>14</v>
      </c>
      <c r="B11" s="6"/>
      <c r="C11" s="6"/>
      <c r="D11" s="6"/>
      <c r="E11" s="6"/>
      <c r="F11" s="6"/>
    </row>
    <row r="12" spans="1:6">
      <c r="A12" s="5" t="s">
        <v>15</v>
      </c>
      <c r="B12" s="6"/>
      <c r="C12" s="6"/>
      <c r="D12" s="6"/>
      <c r="E12" s="6"/>
      <c r="F12" s="6"/>
    </row>
    <row r="13" spans="1:6">
      <c r="A13" s="5" t="s">
        <v>16</v>
      </c>
      <c r="B13" s="6"/>
      <c r="C13" s="6"/>
      <c r="D13" s="6"/>
      <c r="E13" s="6"/>
      <c r="F13" s="6"/>
    </row>
    <row r="14" spans="1:6">
      <c r="A14" s="5" t="s">
        <v>17</v>
      </c>
      <c r="B14" s="6"/>
      <c r="C14" s="6"/>
      <c r="D14" s="6"/>
      <c r="E14" s="6"/>
      <c r="F14" s="6"/>
    </row>
    <row r="15" spans="1:6">
      <c r="A15" s="5" t="s">
        <v>18</v>
      </c>
      <c r="B15" s="6"/>
      <c r="C15" s="6"/>
      <c r="D15" s="6"/>
      <c r="E15" s="6"/>
      <c r="F15" s="6"/>
    </row>
    <row r="16" spans="1:6">
      <c r="A16" s="5" t="s">
        <v>19</v>
      </c>
      <c r="B16" s="6"/>
      <c r="C16" s="6"/>
      <c r="D16" s="6"/>
      <c r="E16" s="6"/>
      <c r="F16" s="6"/>
    </row>
    <row r="17" spans="1:6">
      <c r="A17" s="5" t="s">
        <v>20</v>
      </c>
      <c r="B17" s="6"/>
      <c r="C17" s="6"/>
      <c r="D17" s="6"/>
      <c r="E17" s="6"/>
      <c r="F17" s="6"/>
    </row>
  </sheetData>
  <phoneticPr fontId="7" type="noConversion"/>
  <pageMargins left="0.75" right="0.75" top="1" bottom="1" header="0.5" footer="0.5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6.5"/>
  <cols>
    <col min="1" max="1" width="13" customWidth="1"/>
    <col min="2" max="2" width="18" customWidth="1"/>
    <col min="3" max="3" width="13" customWidth="1"/>
    <col min="4" max="4" width="22" customWidth="1"/>
    <col min="5" max="5" width="24.125" customWidth="1"/>
    <col min="6" max="6" width="27" customWidth="1"/>
  </cols>
  <sheetData>
    <row r="1" spans="1:6" ht="19.5">
      <c r="A1" s="1" t="s">
        <v>21</v>
      </c>
    </row>
    <row r="2" spans="1:6">
      <c r="A2" s="2" t="s">
        <v>22</v>
      </c>
    </row>
    <row r="3" spans="1:6">
      <c r="A3" s="3" t="s">
        <v>23</v>
      </c>
    </row>
    <row r="5" spans="1:6">
      <c r="A5" s="7" t="s">
        <v>24</v>
      </c>
      <c r="B5" s="7" t="s">
        <v>25</v>
      </c>
      <c r="C5" s="7" t="s">
        <v>26</v>
      </c>
      <c r="D5" s="7" t="s">
        <v>27</v>
      </c>
      <c r="E5" s="7" t="s">
        <v>28</v>
      </c>
      <c r="F5" s="7" t="s">
        <v>29</v>
      </c>
    </row>
    <row r="6" spans="1:6">
      <c r="A6" s="8">
        <v>1</v>
      </c>
      <c r="B6" s="5" t="s">
        <v>30</v>
      </c>
      <c r="C6" s="8" t="s">
        <v>31</v>
      </c>
      <c r="D6" s="5" t="s">
        <v>32</v>
      </c>
      <c r="E6" s="9"/>
      <c r="F6" s="10" t="s">
        <v>33</v>
      </c>
    </row>
    <row r="7" spans="1:6">
      <c r="A7" s="8">
        <v>2</v>
      </c>
      <c r="B7" s="5" t="s">
        <v>30</v>
      </c>
      <c r="C7" s="8" t="s">
        <v>34</v>
      </c>
      <c r="D7" s="5" t="s">
        <v>32</v>
      </c>
      <c r="E7" s="9"/>
      <c r="F7" s="10" t="s">
        <v>33</v>
      </c>
    </row>
    <row r="8" spans="1:6">
      <c r="A8" s="8">
        <v>3</v>
      </c>
      <c r="B8" s="5" t="s">
        <v>30</v>
      </c>
      <c r="C8" s="8" t="s">
        <v>35</v>
      </c>
      <c r="D8" s="5" t="s">
        <v>32</v>
      </c>
      <c r="E8" s="9"/>
      <c r="F8" s="10" t="s">
        <v>33</v>
      </c>
    </row>
    <row r="9" spans="1:6">
      <c r="A9" s="8">
        <v>4</v>
      </c>
      <c r="B9" s="5" t="s">
        <v>36</v>
      </c>
      <c r="C9" s="8" t="s">
        <v>31</v>
      </c>
      <c r="D9" s="5" t="s">
        <v>32</v>
      </c>
      <c r="E9" s="9"/>
      <c r="F9" s="10" t="s">
        <v>33</v>
      </c>
    </row>
    <row r="10" spans="1:6">
      <c r="A10" s="8">
        <v>5</v>
      </c>
      <c r="B10" s="5" t="s">
        <v>36</v>
      </c>
      <c r="C10" s="8" t="s">
        <v>34</v>
      </c>
      <c r="D10" s="5" t="s">
        <v>32</v>
      </c>
      <c r="E10" s="9"/>
      <c r="F10" s="10" t="s">
        <v>33</v>
      </c>
    </row>
    <row r="11" spans="1:6">
      <c r="A11" s="8">
        <v>6</v>
      </c>
      <c r="B11" s="5" t="s">
        <v>36</v>
      </c>
      <c r="C11" s="8" t="s">
        <v>35</v>
      </c>
      <c r="D11" s="5" t="s">
        <v>32</v>
      </c>
      <c r="E11" s="9"/>
      <c r="F11" s="10" t="s">
        <v>33</v>
      </c>
    </row>
    <row r="12" spans="1:6">
      <c r="A12" s="8">
        <v>7</v>
      </c>
      <c r="B12" s="5" t="s">
        <v>37</v>
      </c>
      <c r="C12" s="8" t="s">
        <v>31</v>
      </c>
      <c r="D12" s="5" t="s">
        <v>32</v>
      </c>
      <c r="E12" s="9"/>
      <c r="F12" s="10" t="s">
        <v>33</v>
      </c>
    </row>
    <row r="13" spans="1:6">
      <c r="A13" s="8">
        <v>8</v>
      </c>
      <c r="B13" s="5" t="s">
        <v>37</v>
      </c>
      <c r="C13" s="8" t="s">
        <v>34</v>
      </c>
      <c r="D13" s="5" t="s">
        <v>32</v>
      </c>
      <c r="E13" s="9"/>
      <c r="F13" s="10" t="s">
        <v>33</v>
      </c>
    </row>
    <row r="14" spans="1:6">
      <c r="A14" s="8">
        <v>9</v>
      </c>
      <c r="B14" s="5" t="s">
        <v>37</v>
      </c>
      <c r="C14" s="8" t="s">
        <v>35</v>
      </c>
      <c r="D14" s="5" t="s">
        <v>32</v>
      </c>
      <c r="E14" s="9"/>
      <c r="F14" s="10" t="s">
        <v>33</v>
      </c>
    </row>
    <row r="15" spans="1:6">
      <c r="A15" s="8">
        <v>10</v>
      </c>
      <c r="B15" s="5" t="s">
        <v>38</v>
      </c>
      <c r="C15" s="8" t="s">
        <v>31</v>
      </c>
      <c r="D15" s="5" t="s">
        <v>39</v>
      </c>
      <c r="E15" s="9"/>
      <c r="F15" s="10" t="s">
        <v>40</v>
      </c>
    </row>
    <row r="16" spans="1:6">
      <c r="A16" s="8">
        <v>11</v>
      </c>
      <c r="B16" s="5" t="s">
        <v>38</v>
      </c>
      <c r="C16" s="8" t="s">
        <v>34</v>
      </c>
      <c r="D16" s="5" t="s">
        <v>39</v>
      </c>
      <c r="E16" s="9"/>
      <c r="F16" s="10" t="s">
        <v>40</v>
      </c>
    </row>
    <row r="17" spans="1:6">
      <c r="A17" s="8">
        <v>12</v>
      </c>
      <c r="B17" s="5" t="s">
        <v>38</v>
      </c>
      <c r="C17" s="8" t="s">
        <v>35</v>
      </c>
      <c r="D17" s="5" t="s">
        <v>39</v>
      </c>
      <c r="E17" s="9"/>
      <c r="F17" s="10" t="s">
        <v>40</v>
      </c>
    </row>
    <row r="18" spans="1:6">
      <c r="A18" s="8">
        <v>13</v>
      </c>
      <c r="B18" s="5" t="s">
        <v>41</v>
      </c>
      <c r="C18" s="8" t="s">
        <v>31</v>
      </c>
      <c r="D18" s="5" t="s">
        <v>39</v>
      </c>
      <c r="E18" s="9"/>
      <c r="F18" s="10" t="s">
        <v>40</v>
      </c>
    </row>
    <row r="19" spans="1:6">
      <c r="A19" s="8">
        <v>14</v>
      </c>
      <c r="B19" s="5" t="s">
        <v>41</v>
      </c>
      <c r="C19" s="8" t="s">
        <v>34</v>
      </c>
      <c r="D19" s="5" t="s">
        <v>39</v>
      </c>
      <c r="E19" s="9"/>
      <c r="F19" s="10" t="s">
        <v>40</v>
      </c>
    </row>
    <row r="20" spans="1:6">
      <c r="A20" s="8">
        <v>15</v>
      </c>
      <c r="B20" s="5" t="s">
        <v>41</v>
      </c>
      <c r="C20" s="8" t="s">
        <v>35</v>
      </c>
      <c r="D20" s="5" t="s">
        <v>39</v>
      </c>
      <c r="E20" s="9"/>
      <c r="F20" s="10" t="s">
        <v>40</v>
      </c>
    </row>
    <row r="21" spans="1:6">
      <c r="A21" s="8">
        <v>16</v>
      </c>
      <c r="B21" s="5" t="s">
        <v>42</v>
      </c>
      <c r="C21" s="8" t="s">
        <v>31</v>
      </c>
      <c r="D21" s="5" t="s">
        <v>39</v>
      </c>
      <c r="E21" s="9"/>
      <c r="F21" s="10" t="s">
        <v>40</v>
      </c>
    </row>
    <row r="22" spans="1:6">
      <c r="A22" s="8">
        <v>17</v>
      </c>
      <c r="B22" s="5" t="s">
        <v>42</v>
      </c>
      <c r="C22" s="8" t="s">
        <v>34</v>
      </c>
      <c r="D22" s="5" t="s">
        <v>39</v>
      </c>
      <c r="E22" s="9"/>
      <c r="F22" s="10" t="s">
        <v>40</v>
      </c>
    </row>
    <row r="23" spans="1:6">
      <c r="A23" s="8">
        <v>18</v>
      </c>
      <c r="B23" s="5" t="s">
        <v>42</v>
      </c>
      <c r="C23" s="8" t="s">
        <v>35</v>
      </c>
      <c r="D23" s="5" t="s">
        <v>39</v>
      </c>
      <c r="E23" s="9"/>
      <c r="F23" s="10" t="s">
        <v>40</v>
      </c>
    </row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6.5"/>
  <cols>
    <col min="1" max="1" width="14.25" customWidth="1"/>
    <col min="2" max="2" width="23" customWidth="1"/>
    <col min="3" max="3" width="21" customWidth="1"/>
    <col min="4" max="4" width="13" customWidth="1"/>
    <col min="5" max="5" width="18" customWidth="1"/>
    <col min="6" max="6" width="36" customWidth="1"/>
  </cols>
  <sheetData>
    <row r="1" spans="1:6" ht="19.5">
      <c r="A1" s="1" t="s">
        <v>43</v>
      </c>
    </row>
    <row r="2" spans="1:6">
      <c r="A2" s="2" t="s">
        <v>44</v>
      </c>
    </row>
    <row r="3" spans="1:6">
      <c r="A3" s="3" t="s">
        <v>45</v>
      </c>
    </row>
    <row r="5" spans="1:6">
      <c r="A5" s="11" t="s">
        <v>24</v>
      </c>
      <c r="B5" s="11" t="s">
        <v>46</v>
      </c>
      <c r="C5" s="11" t="s">
        <v>47</v>
      </c>
      <c r="D5" s="11" t="s">
        <v>48</v>
      </c>
      <c r="E5" s="11" t="s">
        <v>49</v>
      </c>
      <c r="F5" s="11" t="s">
        <v>50</v>
      </c>
    </row>
    <row r="6" spans="1:6">
      <c r="A6" s="8">
        <v>1</v>
      </c>
      <c r="B6" s="5" t="s">
        <v>51</v>
      </c>
      <c r="C6" s="8" t="s">
        <v>52</v>
      </c>
      <c r="D6" s="8" t="s">
        <v>53</v>
      </c>
      <c r="E6" s="9"/>
      <c r="F6" s="10" t="s">
        <v>54</v>
      </c>
    </row>
    <row r="7" spans="1:6">
      <c r="A7" s="8">
        <v>2</v>
      </c>
      <c r="B7" s="5" t="s">
        <v>55</v>
      </c>
      <c r="C7" s="8" t="s">
        <v>56</v>
      </c>
      <c r="D7" s="8" t="s">
        <v>53</v>
      </c>
      <c r="E7" s="9"/>
      <c r="F7" s="10" t="s">
        <v>57</v>
      </c>
    </row>
    <row r="8" spans="1:6">
      <c r="A8" s="8">
        <v>3</v>
      </c>
      <c r="B8" s="5" t="s">
        <v>58</v>
      </c>
      <c r="C8" s="8" t="s">
        <v>59</v>
      </c>
      <c r="D8" s="8" t="s">
        <v>53</v>
      </c>
      <c r="E8" s="9"/>
      <c r="F8" s="10" t="s">
        <v>60</v>
      </c>
    </row>
    <row r="9" spans="1:6">
      <c r="A9" s="8">
        <v>4</v>
      </c>
      <c r="B9" s="5" t="s">
        <v>61</v>
      </c>
      <c r="C9" s="8" t="s">
        <v>62</v>
      </c>
      <c r="D9" s="8" t="s">
        <v>53</v>
      </c>
      <c r="E9" s="9"/>
      <c r="F9" s="10" t="s">
        <v>60</v>
      </c>
    </row>
    <row r="10" spans="1:6">
      <c r="A10" s="8">
        <v>5</v>
      </c>
      <c r="B10" s="5" t="s">
        <v>63</v>
      </c>
      <c r="C10" s="8" t="s">
        <v>64</v>
      </c>
      <c r="D10" s="8" t="s">
        <v>53</v>
      </c>
      <c r="E10" s="9"/>
      <c r="F10" s="10" t="s">
        <v>60</v>
      </c>
    </row>
  </sheetData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6.5"/>
  <cols>
    <col min="1" max="1" width="20.125" customWidth="1"/>
    <col min="2" max="3" width="13" customWidth="1"/>
    <col min="4" max="4" width="18.125" customWidth="1"/>
    <col min="5" max="5" width="17.25" customWidth="1"/>
    <col min="6" max="6" width="21.625" customWidth="1"/>
    <col min="7" max="7" width="21.5" customWidth="1"/>
    <col min="8" max="8" width="23.25" customWidth="1"/>
  </cols>
  <sheetData>
    <row r="1" spans="1:8" ht="19.5">
      <c r="A1" s="1" t="s">
        <v>65</v>
      </c>
    </row>
    <row r="2" spans="1:8">
      <c r="A2" s="2" t="s">
        <v>66</v>
      </c>
    </row>
    <row r="4" spans="1:8">
      <c r="A4" s="4" t="s">
        <v>25</v>
      </c>
      <c r="B4" s="4" t="s">
        <v>26</v>
      </c>
      <c r="C4" s="4" t="s">
        <v>67</v>
      </c>
      <c r="D4" s="4" t="s">
        <v>68</v>
      </c>
      <c r="E4" s="4" t="s">
        <v>69</v>
      </c>
      <c r="F4" s="4" t="s">
        <v>70</v>
      </c>
      <c r="G4" s="4" t="s">
        <v>71</v>
      </c>
      <c r="H4" s="4" t="s">
        <v>72</v>
      </c>
    </row>
    <row r="5" spans="1:8">
      <c r="A5" s="5" t="s">
        <v>30</v>
      </c>
      <c r="B5" s="8" t="s">
        <v>31</v>
      </c>
      <c r="C5" s="8" t="s">
        <v>32</v>
      </c>
      <c r="D5" s="12" t="str">
        <f>IF(로드빔세트단가!E6="","", 로드빔세트단가!E6 + (2 * 타이빔단가!E6))</f>
        <v/>
      </c>
      <c r="E5" s="12" t="str">
        <f>IF(로드빔세트단가!E6="","", 로드빔세트단가!E6 + (2 * 타이빔단가!E7))</f>
        <v/>
      </c>
      <c r="F5" s="12" t="str">
        <f>IF(로드빔세트단가!E6="","", 로드빔세트단가!E6 + (2 * 타이빔단가!E8))</f>
        <v/>
      </c>
      <c r="G5" s="12" t="str">
        <f>IF(로드빔세트단가!E6="","", 로드빔세트단가!E6 + (2 * 타이빔단가!E9))</f>
        <v/>
      </c>
      <c r="H5" s="12" t="str">
        <f>IF(로드빔세트단가!E6="","", 로드빔세트단가!E6 + (2 * 타이빔단가!E10))</f>
        <v/>
      </c>
    </row>
    <row r="6" spans="1:8">
      <c r="A6" s="5" t="s">
        <v>30</v>
      </c>
      <c r="B6" s="8" t="s">
        <v>34</v>
      </c>
      <c r="C6" s="8" t="s">
        <v>32</v>
      </c>
      <c r="D6" s="13" t="str">
        <f>IF(로드빔세트단가!E7="","", 로드빔세트단가!E7 + (2 * 타이빔단가!E6))</f>
        <v/>
      </c>
      <c r="E6" s="13" t="str">
        <f>IF(로드빔세트단가!E7="","", 로드빔세트단가!E7 + (2 * 타이빔단가!E7))</f>
        <v/>
      </c>
      <c r="F6" s="13" t="str">
        <f>IF(로드빔세트단가!E7="","", 로드빔세트단가!E7 + (2 * 타이빔단가!E8))</f>
        <v/>
      </c>
      <c r="G6" s="13" t="str">
        <f>IF(로드빔세트단가!E7="","", 로드빔세트단가!E7 + (2 * 타이빔단가!E9))</f>
        <v/>
      </c>
      <c r="H6" s="13" t="str">
        <f>IF(로드빔세트단가!E7="","", 로드빔세트단가!E7 + (2 * 타이빔단가!E10))</f>
        <v/>
      </c>
    </row>
    <row r="7" spans="1:8">
      <c r="A7" s="5" t="s">
        <v>30</v>
      </c>
      <c r="B7" s="8" t="s">
        <v>35</v>
      </c>
      <c r="C7" s="8" t="s">
        <v>32</v>
      </c>
      <c r="D7" s="13" t="str">
        <f>IF(로드빔세트단가!E8="","", 로드빔세트단가!E8 + (2 * 타이빔단가!E6))</f>
        <v/>
      </c>
      <c r="E7" s="13" t="str">
        <f>IF(로드빔세트단가!E8="","", 로드빔세트단가!E8 + (2 * 타이빔단가!E7))</f>
        <v/>
      </c>
      <c r="F7" s="13" t="str">
        <f>IF(로드빔세트단가!E8="","", 로드빔세트단가!E8 + (2 * 타이빔단가!E8))</f>
        <v/>
      </c>
      <c r="G7" s="13" t="str">
        <f>IF(로드빔세트단가!E8="","", 로드빔세트단가!E8 + (2 * 타이빔단가!E9))</f>
        <v/>
      </c>
      <c r="H7" s="13" t="str">
        <f>IF(로드빔세트단가!E8="","", 로드빔세트단가!E8 + (2 * 타이빔단가!E10))</f>
        <v/>
      </c>
    </row>
    <row r="8" spans="1:8">
      <c r="A8" s="5" t="s">
        <v>36</v>
      </c>
      <c r="B8" s="8" t="s">
        <v>31</v>
      </c>
      <c r="C8" s="8" t="s">
        <v>32</v>
      </c>
      <c r="D8" s="13" t="str">
        <f>IF(로드빔세트단가!E9="","", 로드빔세트단가!E9 + (2 * 타이빔단가!E6))</f>
        <v/>
      </c>
      <c r="E8" s="13" t="str">
        <f>IF(로드빔세트단가!E9="","", 로드빔세트단가!E9 + (2 * 타이빔단가!E7))</f>
        <v/>
      </c>
      <c r="F8" s="13" t="str">
        <f>IF(로드빔세트단가!E9="","", 로드빔세트단가!E9 + (2 * 타이빔단가!E8))</f>
        <v/>
      </c>
      <c r="G8" s="13" t="str">
        <f>IF(로드빔세트단가!E9="","", 로드빔세트단가!E9 + (2 * 타이빔단가!E9))</f>
        <v/>
      </c>
      <c r="H8" s="13" t="str">
        <f>IF(로드빔세트단가!E9="","", 로드빔세트단가!E9 + (2 * 타이빔단가!E10))</f>
        <v/>
      </c>
    </row>
    <row r="9" spans="1:8">
      <c r="A9" s="5" t="s">
        <v>36</v>
      </c>
      <c r="B9" s="8" t="s">
        <v>34</v>
      </c>
      <c r="C9" s="8" t="s">
        <v>32</v>
      </c>
      <c r="D9" s="12" t="str">
        <f>IF(로드빔세트단가!E10="","", 로드빔세트단가!E10 + (2 * 타이빔단가!E6))</f>
        <v/>
      </c>
      <c r="E9" s="12" t="str">
        <f>IF(로드빔세트단가!E10="","", 로드빔세트단가!E10 + (2 * 타이빔단가!E7))</f>
        <v/>
      </c>
      <c r="F9" s="12" t="str">
        <f>IF(로드빔세트단가!E10="","", 로드빔세트단가!E10 + (2 * 타이빔단가!E8))</f>
        <v/>
      </c>
      <c r="G9" s="12" t="str">
        <f>IF(로드빔세트단가!E10="","", 로드빔세트단가!E10 + (2 * 타이빔단가!E9))</f>
        <v/>
      </c>
      <c r="H9" s="12" t="str">
        <f>IF(로드빔세트단가!E10="","", 로드빔세트단가!E10 + (2 * 타이빔단가!E10))</f>
        <v/>
      </c>
    </row>
    <row r="10" spans="1:8">
      <c r="A10" s="5" t="s">
        <v>36</v>
      </c>
      <c r="B10" s="8" t="s">
        <v>35</v>
      </c>
      <c r="C10" s="8" t="s">
        <v>32</v>
      </c>
      <c r="D10" s="12" t="str">
        <f>IF(로드빔세트단가!E11="","", 로드빔세트단가!E11 + (2 * 타이빔단가!E6))</f>
        <v/>
      </c>
      <c r="E10" s="12" t="str">
        <f>IF(로드빔세트단가!E11="","", 로드빔세트단가!E11 + (2 * 타이빔단가!E7))</f>
        <v/>
      </c>
      <c r="F10" s="12" t="str">
        <f>IF(로드빔세트단가!E11="","", 로드빔세트단가!E11 + (2 * 타이빔단가!E8))</f>
        <v/>
      </c>
      <c r="G10" s="12" t="str">
        <f>IF(로드빔세트단가!E11="","", 로드빔세트단가!E11 + (2 * 타이빔단가!E9))</f>
        <v/>
      </c>
      <c r="H10" s="12" t="str">
        <f>IF(로드빔세트단가!E11="","", 로드빔세트단가!E11 + (2 * 타이빔단가!E10))</f>
        <v/>
      </c>
    </row>
    <row r="11" spans="1:8">
      <c r="A11" s="5" t="s">
        <v>37</v>
      </c>
      <c r="B11" s="8" t="s">
        <v>31</v>
      </c>
      <c r="C11" s="8" t="s">
        <v>32</v>
      </c>
      <c r="D11" s="12" t="str">
        <f>IF(로드빔세트단가!E12="","", 로드빔세트단가!E12 + (2 * 타이빔단가!E6))</f>
        <v/>
      </c>
      <c r="E11" s="12" t="str">
        <f>IF(로드빔세트단가!E12="","", 로드빔세트단가!E12 + (2 * 타이빔단가!E7))</f>
        <v/>
      </c>
      <c r="F11" s="12" t="str">
        <f>IF(로드빔세트단가!E12="","", 로드빔세트단가!E12 + (2 * 타이빔단가!E8))</f>
        <v/>
      </c>
      <c r="G11" s="12" t="str">
        <f>IF(로드빔세트단가!E12="","", 로드빔세트단가!E12 + (2 * 타이빔단가!E9))</f>
        <v/>
      </c>
      <c r="H11" s="12" t="str">
        <f>IF(로드빔세트단가!E12="","", 로드빔세트단가!E12 + (2 * 타이빔단가!E10))</f>
        <v/>
      </c>
    </row>
    <row r="12" spans="1:8">
      <c r="A12" s="5" t="s">
        <v>37</v>
      </c>
      <c r="B12" s="8" t="s">
        <v>34</v>
      </c>
      <c r="C12" s="8" t="s">
        <v>32</v>
      </c>
      <c r="D12" s="13" t="str">
        <f>IF(로드빔세트단가!E13="","", 로드빔세트단가!E13 + (2 * 타이빔단가!E6))</f>
        <v/>
      </c>
      <c r="E12" s="13" t="str">
        <f>IF(로드빔세트단가!E13="","", 로드빔세트단가!E13 + (2 * 타이빔단가!E7))</f>
        <v/>
      </c>
      <c r="F12" s="13" t="str">
        <f>IF(로드빔세트단가!E13="","", 로드빔세트단가!E13 + (2 * 타이빔단가!E8))</f>
        <v/>
      </c>
      <c r="G12" s="13" t="str">
        <f>IF(로드빔세트단가!E13="","", 로드빔세트단가!E13 + (2 * 타이빔단가!E9))</f>
        <v/>
      </c>
      <c r="H12" s="13" t="str">
        <f>IF(로드빔세트단가!E13="","", 로드빔세트단가!E13 + (2 * 타이빔단가!E10))</f>
        <v/>
      </c>
    </row>
    <row r="13" spans="1:8">
      <c r="A13" s="5" t="s">
        <v>37</v>
      </c>
      <c r="B13" s="8" t="s">
        <v>35</v>
      </c>
      <c r="C13" s="8" t="s">
        <v>32</v>
      </c>
      <c r="D13" s="13" t="str">
        <f>IF(로드빔세트단가!E14="","", 로드빔세트단가!E14 + (2 * 타이빔단가!E6))</f>
        <v/>
      </c>
      <c r="E13" s="13" t="str">
        <f>IF(로드빔세트단가!E14="","", 로드빔세트단가!E14 + (2 * 타이빔단가!E7))</f>
        <v/>
      </c>
      <c r="F13" s="13" t="str">
        <f>IF(로드빔세트단가!E14="","", 로드빔세트단가!E14 + (2 * 타이빔단가!E8))</f>
        <v/>
      </c>
      <c r="G13" s="13" t="str">
        <f>IF(로드빔세트단가!E14="","", 로드빔세트단가!E14 + (2 * 타이빔단가!E9))</f>
        <v/>
      </c>
      <c r="H13" s="13" t="str">
        <f>IF(로드빔세트단가!E14="","", 로드빔세트단가!E14 + (2 * 타이빔단가!E10))</f>
        <v/>
      </c>
    </row>
    <row r="14" spans="1:8">
      <c r="A14" s="5" t="s">
        <v>38</v>
      </c>
      <c r="B14" s="8" t="s">
        <v>31</v>
      </c>
      <c r="C14" s="8" t="s">
        <v>39</v>
      </c>
      <c r="D14" s="13" t="str">
        <f>IF(로드빔세트단가!E15="","", 로드빔세트단가!E15 + (4 * 타이빔단가!E6))</f>
        <v/>
      </c>
      <c r="E14" s="13" t="str">
        <f>IF(로드빔세트단가!E15="","", 로드빔세트단가!E15 + (4 * 타이빔단가!E7))</f>
        <v/>
      </c>
      <c r="F14" s="13" t="str">
        <f>IF(로드빔세트단가!E15="","", 로드빔세트단가!E15 + (4 * 타이빔단가!E8))</f>
        <v/>
      </c>
      <c r="G14" s="13" t="str">
        <f>IF(로드빔세트단가!E15="","", 로드빔세트단가!E15 + (4 * 타이빔단가!E9))</f>
        <v/>
      </c>
      <c r="H14" s="13" t="str">
        <f>IF(로드빔세트단가!E15="","", 로드빔세트단가!E15 + (4 * 타이빔단가!E10))</f>
        <v/>
      </c>
    </row>
    <row r="15" spans="1:8">
      <c r="A15" s="5" t="s">
        <v>38</v>
      </c>
      <c r="B15" s="8" t="s">
        <v>34</v>
      </c>
      <c r="C15" s="8" t="s">
        <v>39</v>
      </c>
      <c r="D15" s="12" t="str">
        <f>IF(로드빔세트단가!E16="","", 로드빔세트단가!E16 + (4 * 타이빔단가!E6))</f>
        <v/>
      </c>
      <c r="E15" s="12" t="str">
        <f>IF(로드빔세트단가!E16="","", 로드빔세트단가!E16 + (4 * 타이빔단가!E7))</f>
        <v/>
      </c>
      <c r="F15" s="12" t="str">
        <f>IF(로드빔세트단가!E16="","", 로드빔세트단가!E16 + (4 * 타이빔단가!E8))</f>
        <v/>
      </c>
      <c r="G15" s="12" t="str">
        <f>IF(로드빔세트단가!E16="","", 로드빔세트단가!E16 + (4 * 타이빔단가!E9))</f>
        <v/>
      </c>
      <c r="H15" s="12" t="str">
        <f>IF(로드빔세트단가!E16="","", 로드빔세트단가!E16 + (4 * 타이빔단가!E10))</f>
        <v/>
      </c>
    </row>
    <row r="16" spans="1:8">
      <c r="A16" s="5" t="s">
        <v>38</v>
      </c>
      <c r="B16" s="8" t="s">
        <v>35</v>
      </c>
      <c r="C16" s="8" t="s">
        <v>39</v>
      </c>
      <c r="D16" s="12" t="str">
        <f>IF(로드빔세트단가!E17="","", 로드빔세트단가!E17 + (4 * 타이빔단가!E6))</f>
        <v/>
      </c>
      <c r="E16" s="12" t="str">
        <f>IF(로드빔세트단가!E17="","", 로드빔세트단가!E17 + (4 * 타이빔단가!E7))</f>
        <v/>
      </c>
      <c r="F16" s="12" t="str">
        <f>IF(로드빔세트단가!E17="","", 로드빔세트단가!E17 + (4 * 타이빔단가!E8))</f>
        <v/>
      </c>
      <c r="G16" s="12" t="str">
        <f>IF(로드빔세트단가!E17="","", 로드빔세트단가!E17 + (4 * 타이빔단가!E9))</f>
        <v/>
      </c>
      <c r="H16" s="12" t="str">
        <f>IF(로드빔세트단가!E17="","", 로드빔세트단가!E17 + (4 * 타이빔단가!E10))</f>
        <v/>
      </c>
    </row>
    <row r="17" spans="1:8">
      <c r="A17" s="5" t="s">
        <v>41</v>
      </c>
      <c r="B17" s="8" t="s">
        <v>31</v>
      </c>
      <c r="C17" s="8" t="s">
        <v>39</v>
      </c>
      <c r="D17" s="12" t="str">
        <f>IF(로드빔세트단가!E18="","", 로드빔세트단가!E18 + (4 * 타이빔단가!E6))</f>
        <v/>
      </c>
      <c r="E17" s="12" t="str">
        <f>IF(로드빔세트단가!E18="","", 로드빔세트단가!E18 + (4 * 타이빔단가!E7))</f>
        <v/>
      </c>
      <c r="F17" s="12" t="str">
        <f>IF(로드빔세트단가!E18="","", 로드빔세트단가!E18 + (4 * 타이빔단가!E8))</f>
        <v/>
      </c>
      <c r="G17" s="12" t="str">
        <f>IF(로드빔세트단가!E18="","", 로드빔세트단가!E18 + (4 * 타이빔단가!E9))</f>
        <v/>
      </c>
      <c r="H17" s="12" t="str">
        <f>IF(로드빔세트단가!E18="","", 로드빔세트단가!E18 + (4 * 타이빔단가!E10))</f>
        <v/>
      </c>
    </row>
    <row r="18" spans="1:8">
      <c r="A18" s="5" t="s">
        <v>41</v>
      </c>
      <c r="B18" s="8" t="s">
        <v>34</v>
      </c>
      <c r="C18" s="8" t="s">
        <v>39</v>
      </c>
      <c r="D18" s="13" t="str">
        <f>IF(로드빔세트단가!E19="","", 로드빔세트단가!E19 + (4 * 타이빔단가!E6))</f>
        <v/>
      </c>
      <c r="E18" s="13" t="str">
        <f>IF(로드빔세트단가!E19="","", 로드빔세트단가!E19 + (4 * 타이빔단가!E7))</f>
        <v/>
      </c>
      <c r="F18" s="13" t="str">
        <f>IF(로드빔세트단가!E19="","", 로드빔세트단가!E19 + (4 * 타이빔단가!E8))</f>
        <v/>
      </c>
      <c r="G18" s="13" t="str">
        <f>IF(로드빔세트단가!E19="","", 로드빔세트단가!E19 + (4 * 타이빔단가!E9))</f>
        <v/>
      </c>
      <c r="H18" s="13" t="str">
        <f>IF(로드빔세트단가!E19="","", 로드빔세트단가!E19 + (4 * 타이빔단가!E10))</f>
        <v/>
      </c>
    </row>
    <row r="19" spans="1:8">
      <c r="A19" s="5" t="s">
        <v>41</v>
      </c>
      <c r="B19" s="8" t="s">
        <v>35</v>
      </c>
      <c r="C19" s="8" t="s">
        <v>39</v>
      </c>
      <c r="D19" s="13" t="str">
        <f>IF(로드빔세트단가!E20="","", 로드빔세트단가!E20 + (4 * 타이빔단가!E6))</f>
        <v/>
      </c>
      <c r="E19" s="13" t="str">
        <f>IF(로드빔세트단가!E20="","", 로드빔세트단가!E20 + (4 * 타이빔단가!E7))</f>
        <v/>
      </c>
      <c r="F19" s="13" t="str">
        <f>IF(로드빔세트단가!E20="","", 로드빔세트단가!E20 + (4 * 타이빔단가!E8))</f>
        <v/>
      </c>
      <c r="G19" s="13" t="str">
        <f>IF(로드빔세트단가!E20="","", 로드빔세트단가!E20 + (4 * 타이빔단가!E9))</f>
        <v/>
      </c>
      <c r="H19" s="13" t="str">
        <f>IF(로드빔세트단가!E20="","", 로드빔세트단가!E20 + (4 * 타이빔단가!E10))</f>
        <v/>
      </c>
    </row>
    <row r="20" spans="1:8">
      <c r="A20" s="5" t="s">
        <v>42</v>
      </c>
      <c r="B20" s="8" t="s">
        <v>31</v>
      </c>
      <c r="C20" s="8" t="s">
        <v>39</v>
      </c>
      <c r="D20" s="13" t="str">
        <f>IF(로드빔세트단가!E21="","", 로드빔세트단가!E21 + (4 * 타이빔단가!E6))</f>
        <v/>
      </c>
      <c r="E20" s="13" t="str">
        <f>IF(로드빔세트단가!E21="","", 로드빔세트단가!E21 + (4 * 타이빔단가!E7))</f>
        <v/>
      </c>
      <c r="F20" s="13" t="str">
        <f>IF(로드빔세트단가!E21="","", 로드빔세트단가!E21 + (4 * 타이빔단가!E8))</f>
        <v/>
      </c>
      <c r="G20" s="13" t="str">
        <f>IF(로드빔세트단가!E21="","", 로드빔세트단가!E21 + (4 * 타이빔단가!E9))</f>
        <v/>
      </c>
      <c r="H20" s="13" t="str">
        <f>IF(로드빔세트단가!E21="","", 로드빔세트단가!E21 + (4 * 타이빔단가!E10))</f>
        <v/>
      </c>
    </row>
    <row r="21" spans="1:8">
      <c r="A21" s="5" t="s">
        <v>42</v>
      </c>
      <c r="B21" s="8" t="s">
        <v>34</v>
      </c>
      <c r="C21" s="8" t="s">
        <v>39</v>
      </c>
      <c r="D21" s="12" t="str">
        <f>IF(로드빔세트단가!E22="","", 로드빔세트단가!E22 + (4 * 타이빔단가!E6))</f>
        <v/>
      </c>
      <c r="E21" s="12" t="str">
        <f>IF(로드빔세트단가!E22="","", 로드빔세트단가!E22 + (4 * 타이빔단가!E7))</f>
        <v/>
      </c>
      <c r="F21" s="12" t="str">
        <f>IF(로드빔세트단가!E22="","", 로드빔세트단가!E22 + (4 * 타이빔단가!E8))</f>
        <v/>
      </c>
      <c r="G21" s="12" t="str">
        <f>IF(로드빔세트단가!E22="","", 로드빔세트단가!E22 + (4 * 타이빔단가!E9))</f>
        <v/>
      </c>
      <c r="H21" s="12" t="str">
        <f>IF(로드빔세트단가!E22="","", 로드빔세트단가!E22 + (4 * 타이빔단가!E10))</f>
        <v/>
      </c>
    </row>
    <row r="22" spans="1:8">
      <c r="A22" s="5" t="s">
        <v>42</v>
      </c>
      <c r="B22" s="8" t="s">
        <v>35</v>
      </c>
      <c r="C22" s="8" t="s">
        <v>39</v>
      </c>
      <c r="D22" s="12" t="str">
        <f>IF(로드빔세트단가!E23="","", 로드빔세트단가!E23 + (4 * 타이빔단가!E6))</f>
        <v/>
      </c>
      <c r="E22" s="12" t="str">
        <f>IF(로드빔세트단가!E23="","", 로드빔세트단가!E23 + (4 * 타이빔단가!E7))</f>
        <v/>
      </c>
      <c r="F22" s="12" t="str">
        <f>IF(로드빔세트단가!E23="","", 로드빔세트단가!E23 + (4 * 타이빔단가!E8))</f>
        <v/>
      </c>
      <c r="G22" s="12" t="str">
        <f>IF(로드빔세트단가!E23="","", 로드빔세트단가!E23 + (4 * 타이빔단가!E9))</f>
        <v/>
      </c>
      <c r="H22" s="12" t="str">
        <f>IF(로드빔세트단가!E23="","", 로드빔세트단가!E23 + (4 * 타이빔단가!E10))</f>
        <v/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기둥세트단가</vt:lpstr>
      <vt:lpstr>로드빔세트단가</vt:lpstr>
      <vt:lpstr>타이빔단가</vt:lpstr>
      <vt:lpstr>자동계산_세트단가_미리보기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CMAKEC메이크</cp:lastModifiedBy>
  <dcterms:created xsi:type="dcterms:W3CDTF">2026-09-14T07:23:26Z</dcterms:created>
  <dcterms:modified xsi:type="dcterms:W3CDTF">2026-09-14T07:33:24Z</dcterms:modified>
</cp:coreProperties>
</file>