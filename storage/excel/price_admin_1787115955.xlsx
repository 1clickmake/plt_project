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mc:AlternateContent xmlns:mc="http://schemas.openxmlformats.org/markup-compatibility/2006">
    <mc:Choice Requires="x15">
      <x15ac:absPath xmlns:x15ac="http://schemas.microsoft.com/office/spreadsheetml/2010/11/ac" url="C:\Users\com\Desktop\"/>
    </mc:Choice>
  </mc:AlternateContent>
  <xr:revisionPtr revIDLastSave="0" documentId="8_{A952F15E-E4BD-47FC-BBC9-C9B972DC3A97}" xr6:coauthVersionLast="45" xr6:coauthVersionMax="45" xr10:uidLastSave="{00000000-0000-0000-0000-000000000000}"/>
  <bookViews>
    <workbookView xWindow="-120" yWindow="-120" windowWidth="29040" windowHeight="15840" tabRatio="955" xr2:uid="{00000000-000D-0000-FFFF-FFFF00000000}"/>
  </bookViews>
  <sheets>
    <sheet name="일반 파렛트랙" sheetId="35" r:id="rId1"/>
    <sheet name="용접타이빔 파렛트랙" sheetId="36" r:id="rId2"/>
    <sheet name="선반형(앵글용접형) 파렛트랙" sheetId="37" r:id="rId3"/>
    <sheet name="선반형(스텝로드빔) 파렛트랙" sheetId="38" r:id="rId4"/>
    <sheet name="홀더" sheetId="104" r:id="rId5"/>
    <sheet name="경량랙" sheetId="105" r:id="rId6"/>
    <sheet name="중량랙" sheetId="106" r:id="rId7"/>
    <sheet name="오메가 기둥 중량랙" sheetId="107" r:id="rId8"/>
    <sheet name="데크, 데크마감재" sheetId="108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</externalReferences>
  <definedNames>
    <definedName name="_____________MON1" localSheetId="5" hidden="1">{#N/A,#N/A,TRUE,"NRE";#N/A,#N/A,TRUE,"Tooling";#N/A,#N/A,TRUE,"Sample";#N/A,#N/A,TRUE,"Fixtures";#N/A,#N/A,TRUE,"Agency";#N/A,#N/A,TRUE,"Personnel"}</definedName>
    <definedName name="_____________MON1" localSheetId="8" hidden="1">{#N/A,#N/A,TRUE,"NRE";#N/A,#N/A,TRUE,"Tooling";#N/A,#N/A,TRUE,"Sample";#N/A,#N/A,TRUE,"Fixtures";#N/A,#N/A,TRUE,"Agency";#N/A,#N/A,TRUE,"Personnel"}</definedName>
    <definedName name="_____________MON1" localSheetId="7" hidden="1">{#N/A,#N/A,TRUE,"NRE";#N/A,#N/A,TRUE,"Tooling";#N/A,#N/A,TRUE,"Sample";#N/A,#N/A,TRUE,"Fixtures";#N/A,#N/A,TRUE,"Agency";#N/A,#N/A,TRUE,"Personnel"}</definedName>
    <definedName name="_____________MON1" localSheetId="6" hidden="1">{#N/A,#N/A,TRUE,"NRE";#N/A,#N/A,TRUE,"Tooling";#N/A,#N/A,TRUE,"Sample";#N/A,#N/A,TRUE,"Fixtures";#N/A,#N/A,TRUE,"Agency";#N/A,#N/A,TRUE,"Personnel"}</definedName>
    <definedName name="_____________MON1" hidden="1">{#N/A,#N/A,TRUE,"NRE";#N/A,#N/A,TRUE,"Tooling";#N/A,#N/A,TRUE,"Sample";#N/A,#N/A,TRUE,"Fixtures";#N/A,#N/A,TRUE,"Agency";#N/A,#N/A,TRUE,"Personnel"}</definedName>
    <definedName name="____________MON1" localSheetId="5" hidden="1">{#N/A,#N/A,TRUE,"NRE";#N/A,#N/A,TRUE,"Tooling";#N/A,#N/A,TRUE,"Sample";#N/A,#N/A,TRUE,"Fixtures";#N/A,#N/A,TRUE,"Agency";#N/A,#N/A,TRUE,"Personnel"}</definedName>
    <definedName name="____________MON1" localSheetId="8" hidden="1">{#N/A,#N/A,TRUE,"NRE";#N/A,#N/A,TRUE,"Tooling";#N/A,#N/A,TRUE,"Sample";#N/A,#N/A,TRUE,"Fixtures";#N/A,#N/A,TRUE,"Agency";#N/A,#N/A,TRUE,"Personnel"}</definedName>
    <definedName name="____________MON1" localSheetId="7" hidden="1">{#N/A,#N/A,TRUE,"NRE";#N/A,#N/A,TRUE,"Tooling";#N/A,#N/A,TRUE,"Sample";#N/A,#N/A,TRUE,"Fixtures";#N/A,#N/A,TRUE,"Agency";#N/A,#N/A,TRUE,"Personnel"}</definedName>
    <definedName name="____________MON1" localSheetId="6" hidden="1">{#N/A,#N/A,TRUE,"NRE";#N/A,#N/A,TRUE,"Tooling";#N/A,#N/A,TRUE,"Sample";#N/A,#N/A,TRUE,"Fixtures";#N/A,#N/A,TRUE,"Agency";#N/A,#N/A,TRUE,"Personnel"}</definedName>
    <definedName name="____________MON1" hidden="1">{#N/A,#N/A,TRUE,"NRE";#N/A,#N/A,TRUE,"Tooling";#N/A,#N/A,TRUE,"Sample";#N/A,#N/A,TRUE,"Fixtures";#N/A,#N/A,TRUE,"Agency";#N/A,#N/A,TRUE,"Personnel"}</definedName>
    <definedName name="___________MON1" localSheetId="5" hidden="1">{#N/A,#N/A,TRUE,"NRE";#N/A,#N/A,TRUE,"Tooling";#N/A,#N/A,TRUE,"Sample";#N/A,#N/A,TRUE,"Fixtures";#N/A,#N/A,TRUE,"Agency";#N/A,#N/A,TRUE,"Personnel"}</definedName>
    <definedName name="___________MON1" localSheetId="8" hidden="1">{#N/A,#N/A,TRUE,"NRE";#N/A,#N/A,TRUE,"Tooling";#N/A,#N/A,TRUE,"Sample";#N/A,#N/A,TRUE,"Fixtures";#N/A,#N/A,TRUE,"Agency";#N/A,#N/A,TRUE,"Personnel"}</definedName>
    <definedName name="___________MON1" localSheetId="7" hidden="1">{#N/A,#N/A,TRUE,"NRE";#N/A,#N/A,TRUE,"Tooling";#N/A,#N/A,TRUE,"Sample";#N/A,#N/A,TRUE,"Fixtures";#N/A,#N/A,TRUE,"Agency";#N/A,#N/A,TRUE,"Personnel"}</definedName>
    <definedName name="___________MON1" localSheetId="6" hidden="1">{#N/A,#N/A,TRUE,"NRE";#N/A,#N/A,TRUE,"Tooling";#N/A,#N/A,TRUE,"Sample";#N/A,#N/A,TRUE,"Fixtures";#N/A,#N/A,TRUE,"Agency";#N/A,#N/A,TRUE,"Personnel"}</definedName>
    <definedName name="___________MON1" hidden="1">{#N/A,#N/A,TRUE,"NRE";#N/A,#N/A,TRUE,"Tooling";#N/A,#N/A,TRUE,"Sample";#N/A,#N/A,TRUE,"Fixtures";#N/A,#N/A,TRUE,"Agency";#N/A,#N/A,TRUE,"Personnel"}</definedName>
    <definedName name="__________MON1" localSheetId="5" hidden="1">{#N/A,#N/A,TRUE,"NRE";#N/A,#N/A,TRUE,"Tooling";#N/A,#N/A,TRUE,"Sample";#N/A,#N/A,TRUE,"Fixtures";#N/A,#N/A,TRUE,"Agency";#N/A,#N/A,TRUE,"Personnel"}</definedName>
    <definedName name="__________MON1" localSheetId="8" hidden="1">{#N/A,#N/A,TRUE,"NRE";#N/A,#N/A,TRUE,"Tooling";#N/A,#N/A,TRUE,"Sample";#N/A,#N/A,TRUE,"Fixtures";#N/A,#N/A,TRUE,"Agency";#N/A,#N/A,TRUE,"Personnel"}</definedName>
    <definedName name="__________MON1" localSheetId="7" hidden="1">{#N/A,#N/A,TRUE,"NRE";#N/A,#N/A,TRUE,"Tooling";#N/A,#N/A,TRUE,"Sample";#N/A,#N/A,TRUE,"Fixtures";#N/A,#N/A,TRUE,"Agency";#N/A,#N/A,TRUE,"Personnel"}</definedName>
    <definedName name="__________MON1" localSheetId="6" hidden="1">{#N/A,#N/A,TRUE,"NRE";#N/A,#N/A,TRUE,"Tooling";#N/A,#N/A,TRUE,"Sample";#N/A,#N/A,TRUE,"Fixtures";#N/A,#N/A,TRUE,"Agency";#N/A,#N/A,TRUE,"Personnel"}</definedName>
    <definedName name="__________MON1" hidden="1">{#N/A,#N/A,TRUE,"NRE";#N/A,#N/A,TRUE,"Tooling";#N/A,#N/A,TRUE,"Sample";#N/A,#N/A,TRUE,"Fixtures";#N/A,#N/A,TRUE,"Agency";#N/A,#N/A,TRUE,"Personnel"}</definedName>
    <definedName name="_________MON1" localSheetId="5" hidden="1">{#N/A,#N/A,TRUE,"NRE";#N/A,#N/A,TRUE,"Tooling";#N/A,#N/A,TRUE,"Sample";#N/A,#N/A,TRUE,"Fixtures";#N/A,#N/A,TRUE,"Agency";#N/A,#N/A,TRUE,"Personnel"}</definedName>
    <definedName name="_________MON1" localSheetId="8" hidden="1">{#N/A,#N/A,TRUE,"NRE";#N/A,#N/A,TRUE,"Tooling";#N/A,#N/A,TRUE,"Sample";#N/A,#N/A,TRUE,"Fixtures";#N/A,#N/A,TRUE,"Agency";#N/A,#N/A,TRUE,"Personnel"}</definedName>
    <definedName name="_________MON1" localSheetId="7" hidden="1">{#N/A,#N/A,TRUE,"NRE";#N/A,#N/A,TRUE,"Tooling";#N/A,#N/A,TRUE,"Sample";#N/A,#N/A,TRUE,"Fixtures";#N/A,#N/A,TRUE,"Agency";#N/A,#N/A,TRUE,"Personnel"}</definedName>
    <definedName name="_________MON1" localSheetId="6" hidden="1">{#N/A,#N/A,TRUE,"NRE";#N/A,#N/A,TRUE,"Tooling";#N/A,#N/A,TRUE,"Sample";#N/A,#N/A,TRUE,"Fixtures";#N/A,#N/A,TRUE,"Agency";#N/A,#N/A,TRUE,"Personnel"}</definedName>
    <definedName name="_________MON1" hidden="1">{#N/A,#N/A,TRUE,"NRE";#N/A,#N/A,TRUE,"Tooling";#N/A,#N/A,TRUE,"Sample";#N/A,#N/A,TRUE,"Fixtures";#N/A,#N/A,TRUE,"Agency";#N/A,#N/A,TRUE,"Personnel"}</definedName>
    <definedName name="________MON1" localSheetId="5" hidden="1">{#N/A,#N/A,TRUE,"NRE";#N/A,#N/A,TRUE,"Tooling";#N/A,#N/A,TRUE,"Sample";#N/A,#N/A,TRUE,"Fixtures";#N/A,#N/A,TRUE,"Agency";#N/A,#N/A,TRUE,"Personnel"}</definedName>
    <definedName name="________MON1" localSheetId="8" hidden="1">{#N/A,#N/A,TRUE,"NRE";#N/A,#N/A,TRUE,"Tooling";#N/A,#N/A,TRUE,"Sample";#N/A,#N/A,TRUE,"Fixtures";#N/A,#N/A,TRUE,"Agency";#N/A,#N/A,TRUE,"Personnel"}</definedName>
    <definedName name="________MON1" localSheetId="7" hidden="1">{#N/A,#N/A,TRUE,"NRE";#N/A,#N/A,TRUE,"Tooling";#N/A,#N/A,TRUE,"Sample";#N/A,#N/A,TRUE,"Fixtures";#N/A,#N/A,TRUE,"Agency";#N/A,#N/A,TRUE,"Personnel"}</definedName>
    <definedName name="________MON1" localSheetId="6" hidden="1">{#N/A,#N/A,TRUE,"NRE";#N/A,#N/A,TRUE,"Tooling";#N/A,#N/A,TRUE,"Sample";#N/A,#N/A,TRUE,"Fixtures";#N/A,#N/A,TRUE,"Agency";#N/A,#N/A,TRUE,"Personnel"}</definedName>
    <definedName name="________MON1" hidden="1">{#N/A,#N/A,TRUE,"NRE";#N/A,#N/A,TRUE,"Tooling";#N/A,#N/A,TRUE,"Sample";#N/A,#N/A,TRUE,"Fixtures";#N/A,#N/A,TRUE,"Agency";#N/A,#N/A,TRUE,"Personnel"}</definedName>
    <definedName name="_______MON1" localSheetId="5" hidden="1">{#N/A,#N/A,TRUE,"NRE";#N/A,#N/A,TRUE,"Tooling";#N/A,#N/A,TRUE,"Sample";#N/A,#N/A,TRUE,"Fixtures";#N/A,#N/A,TRUE,"Agency";#N/A,#N/A,TRUE,"Personnel"}</definedName>
    <definedName name="_______MON1" localSheetId="8" hidden="1">{#N/A,#N/A,TRUE,"NRE";#N/A,#N/A,TRUE,"Tooling";#N/A,#N/A,TRUE,"Sample";#N/A,#N/A,TRUE,"Fixtures";#N/A,#N/A,TRUE,"Agency";#N/A,#N/A,TRUE,"Personnel"}</definedName>
    <definedName name="_______MON1" localSheetId="7" hidden="1">{#N/A,#N/A,TRUE,"NRE";#N/A,#N/A,TRUE,"Tooling";#N/A,#N/A,TRUE,"Sample";#N/A,#N/A,TRUE,"Fixtures";#N/A,#N/A,TRUE,"Agency";#N/A,#N/A,TRUE,"Personnel"}</definedName>
    <definedName name="_______MON1" localSheetId="6" hidden="1">{#N/A,#N/A,TRUE,"NRE";#N/A,#N/A,TRUE,"Tooling";#N/A,#N/A,TRUE,"Sample";#N/A,#N/A,TRUE,"Fixtures";#N/A,#N/A,TRUE,"Agency";#N/A,#N/A,TRUE,"Personnel"}</definedName>
    <definedName name="_______MON1" hidden="1">{#N/A,#N/A,TRUE,"NRE";#N/A,#N/A,TRUE,"Tooling";#N/A,#N/A,TRUE,"Sample";#N/A,#N/A,TRUE,"Fixtures";#N/A,#N/A,TRUE,"Agency";#N/A,#N/A,TRUE,"Personnel"}</definedName>
    <definedName name="______A10">'[1]712'!$AC$62</definedName>
    <definedName name="______A100">'[2]712'!$AC$62</definedName>
    <definedName name="______A101">'[3]712'!$AC$62</definedName>
    <definedName name="______MON1" localSheetId="5" hidden="1">{#N/A,#N/A,TRUE,"NRE";#N/A,#N/A,TRUE,"Tooling";#N/A,#N/A,TRUE,"Sample";#N/A,#N/A,TRUE,"Fixtures";#N/A,#N/A,TRUE,"Agency";#N/A,#N/A,TRUE,"Personnel"}</definedName>
    <definedName name="______MON1" localSheetId="8" hidden="1">{#N/A,#N/A,TRUE,"NRE";#N/A,#N/A,TRUE,"Tooling";#N/A,#N/A,TRUE,"Sample";#N/A,#N/A,TRUE,"Fixtures";#N/A,#N/A,TRUE,"Agency";#N/A,#N/A,TRUE,"Personnel"}</definedName>
    <definedName name="______MON1" localSheetId="7" hidden="1">{#N/A,#N/A,TRUE,"NRE";#N/A,#N/A,TRUE,"Tooling";#N/A,#N/A,TRUE,"Sample";#N/A,#N/A,TRUE,"Fixtures";#N/A,#N/A,TRUE,"Agency";#N/A,#N/A,TRUE,"Personnel"}</definedName>
    <definedName name="______MON1" localSheetId="6" hidden="1">{#N/A,#N/A,TRUE,"NRE";#N/A,#N/A,TRUE,"Tooling";#N/A,#N/A,TRUE,"Sample";#N/A,#N/A,TRUE,"Fixtures";#N/A,#N/A,TRUE,"Agency";#N/A,#N/A,TRUE,"Personnel"}</definedName>
    <definedName name="______MON1" hidden="1">{#N/A,#N/A,TRUE,"NRE";#N/A,#N/A,TRUE,"Tooling";#N/A,#N/A,TRUE,"Sample";#N/A,#N/A,TRUE,"Fixtures";#N/A,#N/A,TRUE,"Agency";#N/A,#N/A,TRUE,"Personnel"}</definedName>
    <definedName name="_____A10">'[1]712'!$AC$62</definedName>
    <definedName name="_____A100">'[2]712'!$AC$62</definedName>
    <definedName name="_____A101">'[3]712'!$AC$62</definedName>
    <definedName name="_____MON1" localSheetId="5" hidden="1">{#N/A,#N/A,TRUE,"NRE";#N/A,#N/A,TRUE,"Tooling";#N/A,#N/A,TRUE,"Sample";#N/A,#N/A,TRUE,"Fixtures";#N/A,#N/A,TRUE,"Agency";#N/A,#N/A,TRUE,"Personnel"}</definedName>
    <definedName name="_____MON1" localSheetId="8" hidden="1">{#N/A,#N/A,TRUE,"NRE";#N/A,#N/A,TRUE,"Tooling";#N/A,#N/A,TRUE,"Sample";#N/A,#N/A,TRUE,"Fixtures";#N/A,#N/A,TRUE,"Agency";#N/A,#N/A,TRUE,"Personnel"}</definedName>
    <definedName name="_____MON1" localSheetId="7" hidden="1">{#N/A,#N/A,TRUE,"NRE";#N/A,#N/A,TRUE,"Tooling";#N/A,#N/A,TRUE,"Sample";#N/A,#N/A,TRUE,"Fixtures";#N/A,#N/A,TRUE,"Agency";#N/A,#N/A,TRUE,"Personnel"}</definedName>
    <definedName name="_____MON1" localSheetId="6" hidden="1">{#N/A,#N/A,TRUE,"NRE";#N/A,#N/A,TRUE,"Tooling";#N/A,#N/A,TRUE,"Sample";#N/A,#N/A,TRUE,"Fixtures";#N/A,#N/A,TRUE,"Agency";#N/A,#N/A,TRUE,"Personnel"}</definedName>
    <definedName name="_____MON1" hidden="1">{#N/A,#N/A,TRUE,"NRE";#N/A,#N/A,TRUE,"Tooling";#N/A,#N/A,TRUE,"Sample";#N/A,#N/A,TRUE,"Fixtures";#N/A,#N/A,TRUE,"Agency";#N/A,#N/A,TRUE,"Personnel"}</definedName>
    <definedName name="____A10">'[4]712'!$AC$62</definedName>
    <definedName name="____A100">'[2]712'!$AC$62</definedName>
    <definedName name="____A101">'[3]712'!$AC$62</definedName>
    <definedName name="____MON1" localSheetId="5" hidden="1">{#N/A,#N/A,TRUE,"NRE";#N/A,#N/A,TRUE,"Tooling";#N/A,#N/A,TRUE,"Sample";#N/A,#N/A,TRUE,"Fixtures";#N/A,#N/A,TRUE,"Agency";#N/A,#N/A,TRUE,"Personnel"}</definedName>
    <definedName name="____MON1" localSheetId="8" hidden="1">{#N/A,#N/A,TRUE,"NRE";#N/A,#N/A,TRUE,"Tooling";#N/A,#N/A,TRUE,"Sample";#N/A,#N/A,TRUE,"Fixtures";#N/A,#N/A,TRUE,"Agency";#N/A,#N/A,TRUE,"Personnel"}</definedName>
    <definedName name="____MON1" localSheetId="7" hidden="1">{#N/A,#N/A,TRUE,"NRE";#N/A,#N/A,TRUE,"Tooling";#N/A,#N/A,TRUE,"Sample";#N/A,#N/A,TRUE,"Fixtures";#N/A,#N/A,TRUE,"Agency";#N/A,#N/A,TRUE,"Personnel"}</definedName>
    <definedName name="____MON1" localSheetId="6" hidden="1">{#N/A,#N/A,TRUE,"NRE";#N/A,#N/A,TRUE,"Tooling";#N/A,#N/A,TRUE,"Sample";#N/A,#N/A,TRUE,"Fixtures";#N/A,#N/A,TRUE,"Agency";#N/A,#N/A,TRUE,"Personnel"}</definedName>
    <definedName name="____MON1" hidden="1">{#N/A,#N/A,TRUE,"NRE";#N/A,#N/A,TRUE,"Tooling";#N/A,#N/A,TRUE,"Sample";#N/A,#N/A,TRUE,"Fixtures";#N/A,#N/A,TRUE,"Agency";#N/A,#N/A,TRUE,"Personnel"}</definedName>
    <definedName name="___A100">'[2]712'!$AC$62</definedName>
    <definedName name="___A101">'[3]712'!$AC$62</definedName>
    <definedName name="___MON1" localSheetId="5" hidden="1">{#N/A,#N/A,TRUE,"NRE";#N/A,#N/A,TRUE,"Tooling";#N/A,#N/A,TRUE,"Sample";#N/A,#N/A,TRUE,"Fixtures";#N/A,#N/A,TRUE,"Agency";#N/A,#N/A,TRUE,"Personnel"}</definedName>
    <definedName name="___MON1" localSheetId="8" hidden="1">{#N/A,#N/A,TRUE,"NRE";#N/A,#N/A,TRUE,"Tooling";#N/A,#N/A,TRUE,"Sample";#N/A,#N/A,TRUE,"Fixtures";#N/A,#N/A,TRUE,"Agency";#N/A,#N/A,TRUE,"Personnel"}</definedName>
    <definedName name="___MON1" localSheetId="7" hidden="1">{#N/A,#N/A,TRUE,"NRE";#N/A,#N/A,TRUE,"Tooling";#N/A,#N/A,TRUE,"Sample";#N/A,#N/A,TRUE,"Fixtures";#N/A,#N/A,TRUE,"Agency";#N/A,#N/A,TRUE,"Personnel"}</definedName>
    <definedName name="___MON1" localSheetId="6" hidden="1">{#N/A,#N/A,TRUE,"NRE";#N/A,#N/A,TRUE,"Tooling";#N/A,#N/A,TRUE,"Sample";#N/A,#N/A,TRUE,"Fixtures";#N/A,#N/A,TRUE,"Agency";#N/A,#N/A,TRUE,"Personnel"}</definedName>
    <definedName name="___MON1" hidden="1">{#N/A,#N/A,TRUE,"NRE";#N/A,#N/A,TRUE,"Tooling";#N/A,#N/A,TRUE,"Sample";#N/A,#N/A,TRUE,"Fixtures";#N/A,#N/A,TRUE,"Agency";#N/A,#N/A,TRUE,"Personnel"}</definedName>
    <definedName name="__123Graph_A" localSheetId="8" hidden="1">[5]DRUM!#REF!</definedName>
    <definedName name="__123Graph_A" hidden="1">[5]DRUM!#REF!</definedName>
    <definedName name="__123Graph_A그래프2" localSheetId="5" hidden="1">#REF!</definedName>
    <definedName name="__123Graph_A그래프2" localSheetId="8" hidden="1">#REF!</definedName>
    <definedName name="__123Graph_A그래프2" localSheetId="3" hidden="1">#REF!</definedName>
    <definedName name="__123Graph_A그래프2" localSheetId="2" hidden="1">#REF!</definedName>
    <definedName name="__123Graph_A그래프2" localSheetId="7" hidden="1">#REF!</definedName>
    <definedName name="__123Graph_A그래프2" localSheetId="1" hidden="1">#REF!</definedName>
    <definedName name="__123Graph_A그래프2" localSheetId="0" hidden="1">#REF!</definedName>
    <definedName name="__123Graph_A그래프2" localSheetId="6" hidden="1">#REF!</definedName>
    <definedName name="__123Graph_A그래프2" localSheetId="4" hidden="1">#REF!</definedName>
    <definedName name="__123Graph_A그래프2" hidden="1">#REF!</definedName>
    <definedName name="__123Graph_B" localSheetId="5" hidden="1">[5]DRUM!#REF!</definedName>
    <definedName name="__123Graph_B" localSheetId="8" hidden="1">[5]DRUM!#REF!</definedName>
    <definedName name="__123Graph_B" localSheetId="7" hidden="1">[5]DRUM!#REF!</definedName>
    <definedName name="__123Graph_B" localSheetId="6" hidden="1">[5]DRUM!#REF!</definedName>
    <definedName name="__123Graph_B" hidden="1">[5]DRUM!#REF!</definedName>
    <definedName name="__123Graph_B그래프2" localSheetId="5" hidden="1">#REF!</definedName>
    <definedName name="__123Graph_B그래프2" localSheetId="8" hidden="1">#REF!</definedName>
    <definedName name="__123Graph_B그래프2" localSheetId="3" hidden="1">#REF!</definedName>
    <definedName name="__123Graph_B그래프2" localSheetId="2" hidden="1">#REF!</definedName>
    <definedName name="__123Graph_B그래프2" localSheetId="7" hidden="1">#REF!</definedName>
    <definedName name="__123Graph_B그래프2" localSheetId="1" hidden="1">#REF!</definedName>
    <definedName name="__123Graph_B그래프2" localSheetId="0" hidden="1">#REF!</definedName>
    <definedName name="__123Graph_B그래프2" localSheetId="6" hidden="1">#REF!</definedName>
    <definedName name="__123Graph_B그래프2" localSheetId="4" hidden="1">#REF!</definedName>
    <definedName name="__123Graph_B그래프2" hidden="1">#REF!</definedName>
    <definedName name="__123Graph_C" localSheetId="5" hidden="1">[5]DRUM!#REF!</definedName>
    <definedName name="__123Graph_C" localSheetId="8" hidden="1">[5]DRUM!#REF!</definedName>
    <definedName name="__123Graph_C" localSheetId="7" hidden="1">[5]DRUM!#REF!</definedName>
    <definedName name="__123Graph_C" localSheetId="6" hidden="1">[5]DRUM!#REF!</definedName>
    <definedName name="__123Graph_C" hidden="1">[5]DRUM!#REF!</definedName>
    <definedName name="__123Graph_D" localSheetId="5" hidden="1">[5]DRUM!#REF!</definedName>
    <definedName name="__123Graph_D" localSheetId="8" hidden="1">[5]DRUM!#REF!</definedName>
    <definedName name="__123Graph_D" localSheetId="7" hidden="1">[5]DRUM!#REF!</definedName>
    <definedName name="__123Graph_D" localSheetId="6" hidden="1">[5]DRUM!#REF!</definedName>
    <definedName name="__123Graph_D" hidden="1">[5]DRUM!#REF!</definedName>
    <definedName name="__123Graph_X" localSheetId="8" hidden="1">[5]DRUM!#REF!</definedName>
    <definedName name="__123Graph_X" hidden="1">[5]DRUM!#REF!</definedName>
    <definedName name="__123Graph_X그래프2" localSheetId="5" hidden="1">#REF!</definedName>
    <definedName name="__123Graph_X그래프2" localSheetId="8" hidden="1">#REF!</definedName>
    <definedName name="__123Graph_X그래프2" localSheetId="3" hidden="1">#REF!</definedName>
    <definedName name="__123Graph_X그래프2" localSheetId="2" hidden="1">#REF!</definedName>
    <definedName name="__123Graph_X그래프2" localSheetId="7" hidden="1">#REF!</definedName>
    <definedName name="__123Graph_X그래프2" localSheetId="1" hidden="1">#REF!</definedName>
    <definedName name="__123Graph_X그래프2" localSheetId="0" hidden="1">#REF!</definedName>
    <definedName name="__123Graph_X그래프2" localSheetId="6" hidden="1">#REF!</definedName>
    <definedName name="__123Graph_X그래프2" localSheetId="4" hidden="1">#REF!</definedName>
    <definedName name="__123Graph_X그래프2" hidden="1">#REF!</definedName>
    <definedName name="__A10">'[2]712'!$AC$62</definedName>
    <definedName name="__A100">'[3]712'!$AC$62</definedName>
    <definedName name="__A101">'[6]712'!$AC$62</definedName>
    <definedName name="__MON1" localSheetId="5" hidden="1">{#N/A,#N/A,TRUE,"NRE";#N/A,#N/A,TRUE,"Tooling";#N/A,#N/A,TRUE,"Sample";#N/A,#N/A,TRUE,"Fixtures";#N/A,#N/A,TRUE,"Agency";#N/A,#N/A,TRUE,"Personnel"}</definedName>
    <definedName name="__MON1" localSheetId="8" hidden="1">{#N/A,#N/A,TRUE,"NRE";#N/A,#N/A,TRUE,"Tooling";#N/A,#N/A,TRUE,"Sample";#N/A,#N/A,TRUE,"Fixtures";#N/A,#N/A,TRUE,"Agency";#N/A,#N/A,TRUE,"Personnel"}</definedName>
    <definedName name="__MON1" localSheetId="7" hidden="1">{#N/A,#N/A,TRUE,"NRE";#N/A,#N/A,TRUE,"Tooling";#N/A,#N/A,TRUE,"Sample";#N/A,#N/A,TRUE,"Fixtures";#N/A,#N/A,TRUE,"Agency";#N/A,#N/A,TRUE,"Personnel"}</definedName>
    <definedName name="__MON1" localSheetId="6" hidden="1">{#N/A,#N/A,TRUE,"NRE";#N/A,#N/A,TRUE,"Tooling";#N/A,#N/A,TRUE,"Sample";#N/A,#N/A,TRUE,"Fixtures";#N/A,#N/A,TRUE,"Agency";#N/A,#N/A,TRUE,"Personnel"}</definedName>
    <definedName name="__MON1" hidden="1">{#N/A,#N/A,TRUE,"NRE";#N/A,#N/A,TRUE,"Tooling";#N/A,#N/A,TRUE,"Sample";#N/A,#N/A,TRUE,"Fixtures";#N/A,#N/A,TRUE,"Agency";#N/A,#N/A,TRUE,"Personnel"}</definedName>
    <definedName name="__xlfn.BAHTTEXT" hidden="1">#NAME?</definedName>
    <definedName name="_001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1" localSheetId="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1" localSheetId="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1" localSheetId="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1_0_S" localSheetId="8" hidden="1">'[7]6PILE  (돌출)'!#REF!</definedName>
    <definedName name="_1_0_S" hidden="1">'[7]6PILE  (돌출)'!#REF!</definedName>
    <definedName name="_3_0_S" localSheetId="8" hidden="1">'[8]6PILE  (돌출)'!#REF!</definedName>
    <definedName name="_3_0_S" hidden="1">'[8]6PILE  (돌출)'!#REF!</definedName>
    <definedName name="_4_0_0_K" localSheetId="5" hidden="1">#REF!</definedName>
    <definedName name="_4_0_0_K" localSheetId="8" hidden="1">#REF!</definedName>
    <definedName name="_4_0_0_K" localSheetId="7" hidden="1">#REF!</definedName>
    <definedName name="_4_0_0_K" localSheetId="6" hidden="1">#REF!</definedName>
    <definedName name="_4_0_0_K" hidden="1">#REF!</definedName>
    <definedName name="_5_0_0_S" localSheetId="8" hidden="1">#REF!</definedName>
    <definedName name="_5_0_0_S" hidden="1">#REF!</definedName>
    <definedName name="_6_0_S" localSheetId="5" hidden="1">'[9]6PILE  (돌출)'!#REF!</definedName>
    <definedName name="_6_0_S" localSheetId="8" hidden="1">'[9]6PILE  (돌출)'!#REF!</definedName>
    <definedName name="_6_0_S" localSheetId="7" hidden="1">'[9]6PILE  (돌출)'!#REF!</definedName>
    <definedName name="_6_0_S" localSheetId="6" hidden="1">'[9]6PILE  (돌출)'!#REF!</definedName>
    <definedName name="_6_0_S" hidden="1">'[9]6PILE  (돌출)'!#REF!</definedName>
    <definedName name="_A10">'[2]712'!$AC$62</definedName>
    <definedName name="_A100">'[3]712'!$AC$62</definedName>
    <definedName name="_A101">'[6]712'!$AC$62</definedName>
    <definedName name="_Dist_Bin" localSheetId="5" hidden="1">#REF!</definedName>
    <definedName name="_Dist_Bin" localSheetId="8" hidden="1">#REF!</definedName>
    <definedName name="_Dist_Bin" localSheetId="7" hidden="1">#REF!</definedName>
    <definedName name="_Dist_Bin" localSheetId="6" hidden="1">#REF!</definedName>
    <definedName name="_Dist_Bin" hidden="1">#REF!</definedName>
    <definedName name="_Dist_Values" localSheetId="8" hidden="1">#REF!</definedName>
    <definedName name="_Dist_Values" hidden="1">#REF!</definedName>
    <definedName name="_Fill" localSheetId="5" hidden="1">#REF!</definedName>
    <definedName name="_Fill" localSheetId="8" hidden="1">#REF!</definedName>
    <definedName name="_Fill" localSheetId="3" hidden="1">#REF!</definedName>
    <definedName name="_Fill" localSheetId="2" hidden="1">#REF!</definedName>
    <definedName name="_Fill" localSheetId="7" hidden="1">#REF!</definedName>
    <definedName name="_Fill" localSheetId="1" hidden="1">#REF!</definedName>
    <definedName name="_Fill" localSheetId="0" hidden="1">#REF!</definedName>
    <definedName name="_Fill" localSheetId="6" hidden="1">#REF!</definedName>
    <definedName name="_Fill" localSheetId="4" hidden="1">#REF!</definedName>
    <definedName name="_Fill" hidden="1">#REF!</definedName>
    <definedName name="_xlnm._FilterDatabase" localSheetId="5" hidden="1">[10]실행내역!#REF!</definedName>
    <definedName name="_xlnm._FilterDatabase" localSheetId="8" hidden="1">[10]실행내역!#REF!</definedName>
    <definedName name="_xlnm._FilterDatabase" localSheetId="7" hidden="1">[10]실행내역!#REF!</definedName>
    <definedName name="_xlnm._FilterDatabase" localSheetId="6" hidden="1">[10]실행내역!#REF!</definedName>
    <definedName name="_xlnm._FilterDatabase" hidden="1">[10]실행내역!#REF!</definedName>
    <definedName name="_Key1" localSheetId="5" hidden="1">[11]업무계획1!#REF!</definedName>
    <definedName name="_Key1" localSheetId="8" hidden="1">[11]업무계획1!#REF!</definedName>
    <definedName name="_Key1" localSheetId="7" hidden="1">[11]업무계획1!#REF!</definedName>
    <definedName name="_Key1" localSheetId="6" hidden="1">[11]업무계획1!#REF!</definedName>
    <definedName name="_Key1" hidden="1">[11]업무계획1!#REF!</definedName>
    <definedName name="_Key2" localSheetId="5" hidden="1">#REF!</definedName>
    <definedName name="_Key2" localSheetId="8" hidden="1">#REF!</definedName>
    <definedName name="_Key2" localSheetId="7" hidden="1">#REF!</definedName>
    <definedName name="_Key2" localSheetId="6" hidden="1">#REF!</definedName>
    <definedName name="_Key2" hidden="1">#REF!</definedName>
    <definedName name="_MatInverse_In" localSheetId="8" hidden="1">#REF!</definedName>
    <definedName name="_MatInverse_In" hidden="1">#REF!</definedName>
    <definedName name="_MatMult_A" localSheetId="8" hidden="1">#REF!</definedName>
    <definedName name="_MatMult_A" hidden="1">#REF!</definedName>
    <definedName name="_MatMult_AxB" localSheetId="8" hidden="1">#REF!</definedName>
    <definedName name="_MatMult_AxB" hidden="1">#REF!</definedName>
    <definedName name="_MatMult_B" localSheetId="8" hidden="1">#REF!</definedName>
    <definedName name="_MatMult_B" hidden="1">#REF!</definedName>
    <definedName name="_MON1" localSheetId="5" hidden="1">{#N/A,#N/A,TRUE,"NRE";#N/A,#N/A,TRUE,"Tooling";#N/A,#N/A,TRUE,"Sample";#N/A,#N/A,TRUE,"Fixtures";#N/A,#N/A,TRUE,"Agency";#N/A,#N/A,TRUE,"Personnel"}</definedName>
    <definedName name="_MON1" localSheetId="8" hidden="1">{#N/A,#N/A,TRUE,"NRE";#N/A,#N/A,TRUE,"Tooling";#N/A,#N/A,TRUE,"Sample";#N/A,#N/A,TRUE,"Fixtures";#N/A,#N/A,TRUE,"Agency";#N/A,#N/A,TRUE,"Personnel"}</definedName>
    <definedName name="_MON1" localSheetId="7" hidden="1">{#N/A,#N/A,TRUE,"NRE";#N/A,#N/A,TRUE,"Tooling";#N/A,#N/A,TRUE,"Sample";#N/A,#N/A,TRUE,"Fixtures";#N/A,#N/A,TRUE,"Agency";#N/A,#N/A,TRUE,"Personnel"}</definedName>
    <definedName name="_MON1" localSheetId="6" hidden="1">{#N/A,#N/A,TRUE,"NRE";#N/A,#N/A,TRUE,"Tooling";#N/A,#N/A,TRUE,"Sample";#N/A,#N/A,TRUE,"Fixtures";#N/A,#N/A,TRUE,"Agency";#N/A,#N/A,TRUE,"Personnel"}</definedName>
    <definedName name="_MON1" hidden="1">{#N/A,#N/A,TRUE,"NRE";#N/A,#N/A,TRUE,"Tooling";#N/A,#N/A,TRUE,"Sample";#N/A,#N/A,TRUE,"Fixtures";#N/A,#N/A,TRUE,"Agency";#N/A,#N/A,TRUE,"Personnel"}</definedName>
    <definedName name="_Order1" hidden="1">255</definedName>
    <definedName name="_Order2" hidden="1">255</definedName>
    <definedName name="_Sort" localSheetId="5" hidden="1">#REF!</definedName>
    <definedName name="_Sort" localSheetId="8" hidden="1">#REF!</definedName>
    <definedName name="_Sort" localSheetId="7" hidden="1">#REF!</definedName>
    <definedName name="_Sort" localSheetId="6" hidden="1">#REF!</definedName>
    <definedName name="_Sort" hidden="1">#REF!</definedName>
    <definedName name="_SORT1" localSheetId="8" hidden="1">#REF!</definedName>
    <definedName name="_SORT1" hidden="1">#REF!</definedName>
    <definedName name="_Table1_In1" localSheetId="5" hidden="1">[12]inter!#REF!</definedName>
    <definedName name="_Table1_In1" localSheetId="8" hidden="1">[12]inter!#REF!</definedName>
    <definedName name="_Table1_In1" localSheetId="7" hidden="1">[12]inter!#REF!</definedName>
    <definedName name="_Table1_In1" localSheetId="6" hidden="1">[12]inter!#REF!</definedName>
    <definedName name="_Table1_In1" hidden="1">[12]inter!#REF!</definedName>
    <definedName name="_Table1_Out" localSheetId="5" hidden="1">[12]inter!#REF!</definedName>
    <definedName name="_Table1_Out" localSheetId="8" hidden="1">[12]inter!#REF!</definedName>
    <definedName name="_Table1_Out" localSheetId="7" hidden="1">[12]inter!#REF!</definedName>
    <definedName name="_Table1_Out" localSheetId="6" hidden="1">[12]inter!#REF!</definedName>
    <definedName name="_Table1_Out" hidden="1">[12]inter!#REF!</definedName>
    <definedName name="※_추후_NAVA__PROJECT는__부품_">[13]기안!$A$43</definedName>
    <definedName name="A1C1" localSheetId="5" hidden="1">#REF!</definedName>
    <definedName name="A1C1" localSheetId="8" hidden="1">#REF!</definedName>
    <definedName name="A1C1" localSheetId="7" hidden="1">#REF!</definedName>
    <definedName name="A1C1" localSheetId="6" hidden="1">#REF!</definedName>
    <definedName name="A1C1" hidden="1">#REF!</definedName>
    <definedName name="AAA" localSheetId="5" hidden="1">{#N/A,#N/A,TRUE,"NRE";#N/A,#N/A,TRUE,"Tooling";#N/A,#N/A,TRUE,"Sample";#N/A,#N/A,TRUE,"Fixtures";#N/A,#N/A,TRUE,"Agency";#N/A,#N/A,TRUE,"Personnel"}</definedName>
    <definedName name="AAA" localSheetId="8" hidden="1">{#N/A,#N/A,TRUE,"NRE";#N/A,#N/A,TRUE,"Tooling";#N/A,#N/A,TRUE,"Sample";#N/A,#N/A,TRUE,"Fixtures";#N/A,#N/A,TRUE,"Agency";#N/A,#N/A,TRUE,"Personnel"}</definedName>
    <definedName name="AAA" localSheetId="7" hidden="1">{#N/A,#N/A,TRUE,"NRE";#N/A,#N/A,TRUE,"Tooling";#N/A,#N/A,TRUE,"Sample";#N/A,#N/A,TRUE,"Fixtures";#N/A,#N/A,TRUE,"Agency";#N/A,#N/A,TRUE,"Personnel"}</definedName>
    <definedName name="AAA" localSheetId="6" hidden="1">{#N/A,#N/A,TRUE,"NRE";#N/A,#N/A,TRUE,"Tooling";#N/A,#N/A,TRUE,"Sample";#N/A,#N/A,TRUE,"Fixtures";#N/A,#N/A,TRUE,"Agency";#N/A,#N/A,TRUE,"Personnel"}</definedName>
    <definedName name="AAA" hidden="1">{#N/A,#N/A,TRUE,"NRE";#N/A,#N/A,TRUE,"Tooling";#N/A,#N/A,TRUE,"Sample";#N/A,#N/A,TRUE,"Fixtures";#N/A,#N/A,TRUE,"Agency";#N/A,#N/A,TRUE,"Personnel"}</definedName>
    <definedName name="AccessDatabase" hidden="1">"E:\WORK\VISUAL\MIRAE\LOADSYS\LoadDB.mdb"</definedName>
    <definedName name="Angle단중">[14]자재사양!$U$86:$U$143</definedName>
    <definedName name="Angle사양">[14]자재사양!$D$86:$D$143</definedName>
    <definedName name="anj">[14]사양입력!$C$57</definedName>
    <definedName name="anscount" hidden="1">1</definedName>
    <definedName name="AQWS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QWS" localSheetId="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QWS" localSheetId="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QWS" localSheetId="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QW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base_unit_현재" localSheetId="5" hidden="1">{#N/A,#N/A,TRUE,"NRE";#N/A,#N/A,TRUE,"Tooling";#N/A,#N/A,TRUE,"Sample";#N/A,#N/A,TRUE,"Fixtures";#N/A,#N/A,TRUE,"Agency";#N/A,#N/A,TRUE,"Personnel"}</definedName>
    <definedName name="base_unit_현재" localSheetId="8" hidden="1">{#N/A,#N/A,TRUE,"NRE";#N/A,#N/A,TRUE,"Tooling";#N/A,#N/A,TRUE,"Sample";#N/A,#N/A,TRUE,"Fixtures";#N/A,#N/A,TRUE,"Agency";#N/A,#N/A,TRUE,"Personnel"}</definedName>
    <definedName name="base_unit_현재" localSheetId="7" hidden="1">{#N/A,#N/A,TRUE,"NRE";#N/A,#N/A,TRUE,"Tooling";#N/A,#N/A,TRUE,"Sample";#N/A,#N/A,TRUE,"Fixtures";#N/A,#N/A,TRUE,"Agency";#N/A,#N/A,TRUE,"Personnel"}</definedName>
    <definedName name="base_unit_현재" localSheetId="6" hidden="1">{#N/A,#N/A,TRUE,"NRE";#N/A,#N/A,TRUE,"Tooling";#N/A,#N/A,TRUE,"Sample";#N/A,#N/A,TRUE,"Fixtures";#N/A,#N/A,TRUE,"Agency";#N/A,#N/A,TRUE,"Personnel"}</definedName>
    <definedName name="base_unit_현재" hidden="1">{#N/A,#N/A,TRUE,"NRE";#N/A,#N/A,TRUE,"Tooling";#N/A,#N/A,TRUE,"Sample";#N/A,#N/A,TRUE,"Fixtures";#N/A,#N/A,TRUE,"Agency";#N/A,#N/A,TRUE,"Personnel"}</definedName>
    <definedName name="Bay_Pitch">[14]사양입력!$C$19</definedName>
    <definedName name="Bay수">[14]사양입력!$C$12</definedName>
    <definedName name="BG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BG" localSheetId="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BG" localSheetId="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BG" localSheetId="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B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bjk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bjk" localSheetId="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bjk" localSheetId="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bjk" localSheetId="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bjk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Bolt단중">[14]자재사양!$T$297:$T$338</definedName>
    <definedName name="Bolt사양">[14]자재사양!$D$297:$D$338</definedName>
    <definedName name="BP_Rail길이">[14]사양입력!$C$27</definedName>
    <definedName name="BP길이">[14]사양입력!$C$29</definedName>
    <definedName name="Channel단중">[14]자재사양!$U$144:$U$156</definedName>
    <definedName name="Channel사양">[14]자재사양!$D$144:$D$156</definedName>
    <definedName name="CSL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CSL" localSheetId="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CSL" localSheetId="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CSL" localSheetId="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CSL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CVX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CVX" localSheetId="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CVX" localSheetId="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CVX" localSheetId="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CVX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" localSheetId="5">#REF!</definedName>
    <definedName name="D" localSheetId="8">#REF!</definedName>
    <definedName name="D" localSheetId="7">#REF!</definedName>
    <definedName name="D" localSheetId="6">#REF!</definedName>
    <definedName name="D">#REF!</definedName>
    <definedName name="DA" localSheetId="8">#REF!</definedName>
    <definedName name="DA">#REF!</definedName>
    <definedName name="ddd" localSheetId="5">'[15]#REF'!#REF!</definedName>
    <definedName name="ddd" localSheetId="8">'[15]#REF'!#REF!</definedName>
    <definedName name="ddd" localSheetId="3">'[15]#REF'!#REF!</definedName>
    <definedName name="ddd" localSheetId="2">'[15]#REF'!#REF!</definedName>
    <definedName name="ddd" localSheetId="7">'[15]#REF'!#REF!</definedName>
    <definedName name="ddd" localSheetId="1">'[15]#REF'!#REF!</definedName>
    <definedName name="ddd" localSheetId="0">'[15]#REF'!#REF!</definedName>
    <definedName name="ddd" localSheetId="6">'[15]#REF'!#REF!</definedName>
    <definedName name="ddd" localSheetId="4">'[15]#REF'!#REF!</definedName>
    <definedName name="ddd">'[15]#REF'!#REF!</definedName>
    <definedName name="dfsdf" localSheetId="5" hidden="1">{#N/A,#N/A,TRUE,"NRE";#N/A,#N/A,TRUE,"Tooling";#N/A,#N/A,TRUE,"Sample";#N/A,#N/A,TRUE,"Fixtures";#N/A,#N/A,TRUE,"Agency";#N/A,#N/A,TRUE,"Personnel"}</definedName>
    <definedName name="dfsdf" localSheetId="8" hidden="1">{#N/A,#N/A,TRUE,"NRE";#N/A,#N/A,TRUE,"Tooling";#N/A,#N/A,TRUE,"Sample";#N/A,#N/A,TRUE,"Fixtures";#N/A,#N/A,TRUE,"Agency";#N/A,#N/A,TRUE,"Personnel"}</definedName>
    <definedName name="dfsdf" localSheetId="7" hidden="1">{#N/A,#N/A,TRUE,"NRE";#N/A,#N/A,TRUE,"Tooling";#N/A,#N/A,TRUE,"Sample";#N/A,#N/A,TRUE,"Fixtures";#N/A,#N/A,TRUE,"Agency";#N/A,#N/A,TRUE,"Personnel"}</definedName>
    <definedName name="dfsdf" localSheetId="6" hidden="1">{#N/A,#N/A,TRUE,"NRE";#N/A,#N/A,TRUE,"Tooling";#N/A,#N/A,TRUE,"Sample";#N/A,#N/A,TRUE,"Fixtures";#N/A,#N/A,TRUE,"Agency";#N/A,#N/A,TRUE,"Personnel"}</definedName>
    <definedName name="dfsdf" hidden="1">{#N/A,#N/A,TRUE,"NRE";#N/A,#N/A,TRUE,"Tooling";#N/A,#N/A,TRUE,"Sample";#N/A,#N/A,TRUE,"Fixtures";#N/A,#N/A,TRUE,"Agency";#N/A,#N/A,TRUE,"Personnel"}</definedName>
    <definedName name="DGD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D" localSheetId="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D" localSheetId="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D" localSheetId="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BN" localSheetId="5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EBN" localSheetId="8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EBN" localSheetId="7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EBN" localSheetId="6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EBN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ERT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RT" localSheetId="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RT" localSheetId="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RT" localSheetId="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RT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XC" localSheetId="5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EXC" localSheetId="8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EXC" localSheetId="7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EXC" localSheetId="6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EXC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FACTOR">1.6</definedName>
    <definedName name="FACTOR1">1.2</definedName>
    <definedName name="FACTOR2">1.1</definedName>
    <definedName name="FACTOR21">1.1</definedName>
    <definedName name="FACTOR3">1.38</definedName>
    <definedName name="FACTOR34">1.1</definedName>
    <definedName name="FACTOR38">1.1</definedName>
    <definedName name="FACTOR4">1.1</definedName>
    <definedName name="FACTOR40">1.1</definedName>
    <definedName name="FACTOR5">1.1</definedName>
    <definedName name="FACTOR6">1.1</definedName>
    <definedName name="FACTOR7">1.1</definedName>
    <definedName name="FACTOR8">1.1</definedName>
    <definedName name="FAN견적의뢰" localSheetId="5" hidden="1">{#N/A,#N/A,FALSE,"기안지";#N/A,#N/A,FALSE,"통신지"}</definedName>
    <definedName name="FAN견적의뢰" localSheetId="8" hidden="1">{#N/A,#N/A,FALSE,"기안지";#N/A,#N/A,FALSE,"통신지"}</definedName>
    <definedName name="FAN견적의뢰" localSheetId="7" hidden="1">{#N/A,#N/A,FALSE,"기안지";#N/A,#N/A,FALSE,"통신지"}</definedName>
    <definedName name="FAN견적의뢰" localSheetId="6" hidden="1">{#N/A,#N/A,FALSE,"기안지";#N/A,#N/A,FALSE,"통신지"}</definedName>
    <definedName name="FAN견적의뢰" hidden="1">{#N/A,#N/A,FALSE,"기안지";#N/A,#N/A,FALSE,"통신지"}</definedName>
    <definedName name="ff" localSheetId="5" hidden="1">#REF!</definedName>
    <definedName name="ff" localSheetId="8" hidden="1">#REF!</definedName>
    <definedName name="ff" localSheetId="3" hidden="1">#REF!</definedName>
    <definedName name="ff" localSheetId="2" hidden="1">#REF!</definedName>
    <definedName name="ff" localSheetId="7" hidden="1">#REF!</definedName>
    <definedName name="ff" localSheetId="1" hidden="1">#REF!</definedName>
    <definedName name="ff" localSheetId="0" hidden="1">#REF!</definedName>
    <definedName name="ff" localSheetId="6" hidden="1">#REF!</definedName>
    <definedName name="ff" localSheetId="4" hidden="1">#REF!</definedName>
    <definedName name="ff" hidden="1">#REF!</definedName>
    <definedName name="GDFG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FG" localSheetId="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FG" localSheetId="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FG" localSheetId="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F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G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G" localSheetId="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G" localSheetId="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G" localSheetId="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F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F" localSheetId="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F" localSheetId="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F" localSheetId="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G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G" localSheetId="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G" localSheetId="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G" localSheetId="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irth간격">[14]사양입력!$C$51</definedName>
    <definedName name="H_Beam단중">[14]자재사양!$U$157:$U$197</definedName>
    <definedName name="H_Beam사양">[14]자재사양!$D$157:$D$197</definedName>
    <definedName name="harness" localSheetId="5" hidden="1">{#N/A,#N/A,TRUE,"NRE";#N/A,#N/A,TRUE,"Tooling";#N/A,#N/A,TRUE,"Sample";#N/A,#N/A,TRUE,"Fixtures";#N/A,#N/A,TRUE,"Agency";#N/A,#N/A,TRUE,"Personnel"}</definedName>
    <definedName name="harness" localSheetId="8" hidden="1">{#N/A,#N/A,TRUE,"NRE";#N/A,#N/A,TRUE,"Tooling";#N/A,#N/A,TRUE,"Sample";#N/A,#N/A,TRUE,"Fixtures";#N/A,#N/A,TRUE,"Agency";#N/A,#N/A,TRUE,"Personnel"}</definedName>
    <definedName name="harness" localSheetId="7" hidden="1">{#N/A,#N/A,TRUE,"NRE";#N/A,#N/A,TRUE,"Tooling";#N/A,#N/A,TRUE,"Sample";#N/A,#N/A,TRUE,"Fixtures";#N/A,#N/A,TRUE,"Agency";#N/A,#N/A,TRUE,"Personnel"}</definedName>
    <definedName name="harness" localSheetId="6" hidden="1">{#N/A,#N/A,TRUE,"NRE";#N/A,#N/A,TRUE,"Tooling";#N/A,#N/A,TRUE,"Sample";#N/A,#N/A,TRUE,"Fixtures";#N/A,#N/A,TRUE,"Agency";#N/A,#N/A,TRUE,"Personnel"}</definedName>
    <definedName name="harness" hidden="1">{#N/A,#N/A,TRUE,"NRE";#N/A,#N/A,TRUE,"Tooling";#N/A,#N/A,TRUE,"Sample";#N/A,#N/A,TRUE,"Fixtures";#N/A,#N/A,TRUE,"Agency";#N/A,#N/A,TRUE,"Personnel"}</definedName>
    <definedName name="HP_Rail길이">[14]사양입력!$C$26</definedName>
    <definedName name="HP길이">[14]사양입력!$C$28</definedName>
    <definedName name="HTML_CodePage" hidden="1">949</definedName>
    <definedName name="HTML_Control" localSheetId="5" hidden="1">{"'총괄'!$A$1"}</definedName>
    <definedName name="HTML_Control" localSheetId="8" hidden="1">{"'총괄'!$A$1"}</definedName>
    <definedName name="HTML_Control" localSheetId="7" hidden="1">{"'총괄'!$A$1"}</definedName>
    <definedName name="HTML_Control" localSheetId="6" hidden="1">{"'총괄'!$A$1"}</definedName>
    <definedName name="HTML_Control" hidden="1">{"'총괄'!$A$1"}</definedName>
    <definedName name="HTML_Description" hidden="1">""</definedName>
    <definedName name="HTML_Email" hidden="1">""</definedName>
    <definedName name="HTML_Header" hidden="1">"총괄"</definedName>
    <definedName name="HTML_LastUpdate" hidden="1">"98-07-24"</definedName>
    <definedName name="HTML_LineAfter" hidden="1">FALSE</definedName>
    <definedName name="HTML_LineBefore" hidden="1">FALSE</definedName>
    <definedName name="HTML_Name" hidden="1">"재정팀"</definedName>
    <definedName name="HTML_OBDlg2" hidden="1">TRUE</definedName>
    <definedName name="HTML_OBDlg4" hidden="1">TRUE</definedName>
    <definedName name="HTML_OS" hidden="1">0</definedName>
    <definedName name="HTML_PathFile" hidden="1">"C:\My Documents\노부(신)\산업은행\MyHTML.htm"</definedName>
    <definedName name="HTML_Title" hidden="1">"강관시설자금"</definedName>
    <definedName name="JAL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JAL" localSheetId="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JAL" localSheetId="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JAL" localSheetId="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JAL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JKP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JKP" localSheetId="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JKP" localSheetId="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JKP" localSheetId="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JKP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KIX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KIX" localSheetId="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KIX" localSheetId="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KIX" localSheetId="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KIX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Lattice기준길이">[14]사양입력!$C$41</definedName>
    <definedName name="Level수">[14]사양입력!$C$13</definedName>
    <definedName name="Lip_Channel단중">[14]자재사양!$U$198:$U$237</definedName>
    <definedName name="Lip_Channel사양">[14]자재사양!$D$198:$D$237</definedName>
    <definedName name="llll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llll" localSheetId="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llll" localSheetId="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llll" localSheetId="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llll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LOP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LOP" localSheetId="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LOP" localSheetId="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LOP" localSheetId="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LOP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Main_Coloum부재길이">[14]사양입력!$C$48</definedName>
    <definedName name="Main_Coloum최대Span">[14]사양입력!$C$47</definedName>
    <definedName name="Mainothers현재" localSheetId="5" hidden="1">{#N/A,#N/A,TRUE,"NRE";#N/A,#N/A,TRUE,"Tooling";#N/A,#N/A,TRUE,"Sample";#N/A,#N/A,TRUE,"Fixtures";#N/A,#N/A,TRUE,"Agency";#N/A,#N/A,TRUE,"Personnel"}</definedName>
    <definedName name="Mainothers현재" localSheetId="8" hidden="1">{#N/A,#N/A,TRUE,"NRE";#N/A,#N/A,TRUE,"Tooling";#N/A,#N/A,TRUE,"Sample";#N/A,#N/A,TRUE,"Fixtures";#N/A,#N/A,TRUE,"Agency";#N/A,#N/A,TRUE,"Personnel"}</definedName>
    <definedName name="Mainothers현재" localSheetId="7" hidden="1">{#N/A,#N/A,TRUE,"NRE";#N/A,#N/A,TRUE,"Tooling";#N/A,#N/A,TRUE,"Sample";#N/A,#N/A,TRUE,"Fixtures";#N/A,#N/A,TRUE,"Agency";#N/A,#N/A,TRUE,"Personnel"}</definedName>
    <definedName name="Mainothers현재" localSheetId="6" hidden="1">{#N/A,#N/A,TRUE,"NRE";#N/A,#N/A,TRUE,"Tooling";#N/A,#N/A,TRUE,"Sample";#N/A,#N/A,TRUE,"Fixtures";#N/A,#N/A,TRUE,"Agency";#N/A,#N/A,TRUE,"Personnel"}</definedName>
    <definedName name="Mainothers현재" hidden="1">{#N/A,#N/A,TRUE,"NRE";#N/A,#N/A,TRUE,"Tooling";#N/A,#N/A,TRUE,"Sample";#N/A,#N/A,TRUE,"Fixtures";#N/A,#N/A,TRUE,"Agency";#N/A,#N/A,TRUE,"Personnel"}</definedName>
    <definedName name="NAME" localSheetId="5">#REF!</definedName>
    <definedName name="NAME" localSheetId="8">#REF!</definedName>
    <definedName name="NAME" localSheetId="7">#REF!</definedName>
    <definedName name="NAME" localSheetId="6">#REF!</definedName>
    <definedName name="NAME">#REF!</definedName>
    <definedName name="NAME1" localSheetId="8">#REF!</definedName>
    <definedName name="NAME1">#REF!</definedName>
    <definedName name="new" localSheetId="5" hidden="1">{#N/A,#N/A,TRUE,"NRE";#N/A,#N/A,TRUE,"Tooling";#N/A,#N/A,TRUE,"Sample";#N/A,#N/A,TRUE,"Fixtures";#N/A,#N/A,TRUE,"Agency";#N/A,#N/A,TRUE,"Personnel"}</definedName>
    <definedName name="new" localSheetId="8" hidden="1">{#N/A,#N/A,TRUE,"NRE";#N/A,#N/A,TRUE,"Tooling";#N/A,#N/A,TRUE,"Sample";#N/A,#N/A,TRUE,"Fixtures";#N/A,#N/A,TRUE,"Agency";#N/A,#N/A,TRUE,"Personnel"}</definedName>
    <definedName name="new" localSheetId="7" hidden="1">{#N/A,#N/A,TRUE,"NRE";#N/A,#N/A,TRUE,"Tooling";#N/A,#N/A,TRUE,"Sample";#N/A,#N/A,TRUE,"Fixtures";#N/A,#N/A,TRUE,"Agency";#N/A,#N/A,TRUE,"Personnel"}</definedName>
    <definedName name="new" localSheetId="6" hidden="1">{#N/A,#N/A,TRUE,"NRE";#N/A,#N/A,TRUE,"Tooling";#N/A,#N/A,TRUE,"Sample";#N/A,#N/A,TRUE,"Fixtures";#N/A,#N/A,TRUE,"Agency";#N/A,#N/A,TRUE,"Personnel"}</definedName>
    <definedName name="new" hidden="1">{#N/A,#N/A,TRUE,"NRE";#N/A,#N/A,TRUE,"Tooling";#N/A,#N/A,TRUE,"Sample";#N/A,#N/A,TRUE,"Fixtures";#N/A,#N/A,TRUE,"Agency";#N/A,#N/A,TRUE,"Personnel"}</definedName>
    <definedName name="O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O" localSheetId="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O" localSheetId="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O" localSheetId="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O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option" localSheetId="5" hidden="1">{#N/A,#N/A,TRUE,"NRE";#N/A,#N/A,TRUE,"Tooling";#N/A,#N/A,TRUE,"Sample";#N/A,#N/A,TRUE,"Fixtures";#N/A,#N/A,TRUE,"Agency";#N/A,#N/A,TRUE,"Personnel"}</definedName>
    <definedName name="option" localSheetId="8" hidden="1">{#N/A,#N/A,TRUE,"NRE";#N/A,#N/A,TRUE,"Tooling";#N/A,#N/A,TRUE,"Sample";#N/A,#N/A,TRUE,"Fixtures";#N/A,#N/A,TRUE,"Agency";#N/A,#N/A,TRUE,"Personnel"}</definedName>
    <definedName name="option" localSheetId="7" hidden="1">{#N/A,#N/A,TRUE,"NRE";#N/A,#N/A,TRUE,"Tooling";#N/A,#N/A,TRUE,"Sample";#N/A,#N/A,TRUE,"Fixtures";#N/A,#N/A,TRUE,"Agency";#N/A,#N/A,TRUE,"Personnel"}</definedName>
    <definedName name="option" localSheetId="6" hidden="1">{#N/A,#N/A,TRUE,"NRE";#N/A,#N/A,TRUE,"Tooling";#N/A,#N/A,TRUE,"Sample";#N/A,#N/A,TRUE,"Fixtures";#N/A,#N/A,TRUE,"Agency";#N/A,#N/A,TRUE,"Personnel"}</definedName>
    <definedName name="option" hidden="1">{#N/A,#N/A,TRUE,"NRE";#N/A,#N/A,TRUE,"Tooling";#N/A,#N/A,TRUE,"Sample";#N/A,#N/A,TRUE,"Fixtures";#N/A,#N/A,TRUE,"Agency";#N/A,#N/A,TRUE,"Personnel"}</definedName>
    <definedName name="Plate사양">[14]자재사양!$D$262:$D$296</definedName>
    <definedName name="Plate중량">[14]자재사양!$U$262:$U$296</definedName>
    <definedName name="POI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POI" localSheetId="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POI" localSheetId="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POI" localSheetId="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POI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xlnm.Print_Area" localSheetId="5">경량랙!$A$1:$U$16</definedName>
    <definedName name="_xlnm.Print_Area" localSheetId="8">'데크, 데크마감재'!$A$1:$V$13</definedName>
    <definedName name="_xlnm.Print_Area" localSheetId="3">'선반형(스텝로드빔) 파렛트랙'!$A$1:$U$22</definedName>
    <definedName name="_xlnm.Print_Area" localSheetId="2">'선반형(앵글용접형) 파렛트랙'!$A$1:$U$23</definedName>
    <definedName name="_xlnm.Print_Area" localSheetId="7">'오메가 기둥 중량랙'!$A$1:$U$16</definedName>
    <definedName name="_xlnm.Print_Area" localSheetId="1">'용접타이빔 파렛트랙'!$A$1:$U$22</definedName>
    <definedName name="_xlnm.Print_Area" localSheetId="0">'일반 파렛트랙'!$A$1:$U$21</definedName>
    <definedName name="_xlnm.Print_Area" localSheetId="6">중량랙!$A$1:$U$16</definedName>
    <definedName name="_xlnm.Print_Area" localSheetId="4">홀더!$A$1:$T$19</definedName>
    <definedName name="QQQW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QQQW" localSheetId="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QQQW" localSheetId="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QQQW" localSheetId="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QQQW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QQWQ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QQWQ" localSheetId="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QQWQ" localSheetId="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QQWQ" localSheetId="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QQWQ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QWK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QWK" localSheetId="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QWK" localSheetId="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QWK" localSheetId="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QWK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ack_Post배열에따른두께">[14]사양입력!$D$6</definedName>
    <definedName name="Rack_Post폭">[14]사양입력!$C$40</definedName>
    <definedName name="Rack_Post형식">[14]사양입력!$D$5</definedName>
    <definedName name="Rack_Side_L">[14]사양입력!$C$24</definedName>
    <definedName name="Rack_Side_R">[14]사양입력!$C$25</definedName>
    <definedName name="RACK간_여유">[14]사양입력!$C$21</definedName>
    <definedName name="Rack전체길이">[14]결과!$B$27</definedName>
    <definedName name="Rack전체높이">[14]결과!$B$28</definedName>
    <definedName name="Rack전체폭">[14]결과!$B$26</definedName>
    <definedName name="Roundbar단중">[14]자재사양!$U$238:$U$244</definedName>
    <definedName name="Roundbar사양">[14]자재사양!$D$238:$D$244</definedName>
    <definedName name="RouPipe단중">[14]자재사양!$U$43:$U$85</definedName>
    <definedName name="RouPipe사양">[14]자재사양!$D$43:$D$85</definedName>
    <definedName name="Row_Weidth">[14]사양입력!$C$18</definedName>
    <definedName name="Row수">[14]사양입력!$C$11</definedName>
    <definedName name="SAPBEXdnldView" hidden="1">"3V6OKM8JGCS8HC9AUJ9M9IMFQ"</definedName>
    <definedName name="SAPBEXsysID" hidden="1">"BWP"</definedName>
    <definedName name="SC_통로폭">[14]사양입력!$C$20</definedName>
    <definedName name="sd" localSheetId="5" hidden="1">{#N/A,#N/A,FALSE,"전력간선"}</definedName>
    <definedName name="sd" localSheetId="8" hidden="1">{#N/A,#N/A,FALSE,"전력간선"}</definedName>
    <definedName name="sd" localSheetId="7" hidden="1">{#N/A,#N/A,FALSE,"전력간선"}</definedName>
    <definedName name="sd" localSheetId="6" hidden="1">{#N/A,#N/A,FALSE,"전력간선"}</definedName>
    <definedName name="sd" hidden="1">{#N/A,#N/A,FALSE,"전력간선"}</definedName>
    <definedName name="sdd" localSheetId="5" hidden="1">{#N/A,#N/A,FALSE,"전력간선"}</definedName>
    <definedName name="sdd" localSheetId="8" hidden="1">{#N/A,#N/A,FALSE,"전력간선"}</definedName>
    <definedName name="sdd" localSheetId="7" hidden="1">{#N/A,#N/A,FALSE,"전력간선"}</definedName>
    <definedName name="sdd" localSheetId="6" hidden="1">{#N/A,#N/A,FALSE,"전력간선"}</definedName>
    <definedName name="sdd" hidden="1">{#N/A,#N/A,FALSE,"전력간선"}</definedName>
    <definedName name="SORT" localSheetId="5" hidden="1">#REF!</definedName>
    <definedName name="SORT" localSheetId="8" hidden="1">#REF!</definedName>
    <definedName name="SORT" localSheetId="7" hidden="1">#REF!</definedName>
    <definedName name="SORT" localSheetId="6" hidden="1">#REF!</definedName>
    <definedName name="SORT" hidden="1">#REF!</definedName>
    <definedName name="SqPipe단중">[14]자재사양!$U$4:$U$42</definedName>
    <definedName name="SqPipe사양">[14]자재사양!$D$4:$D$42</definedName>
    <definedName name="sss" localSheetId="5" hidden="1">{#N/A,#N/A,FALSE,"전력간선"}</definedName>
    <definedName name="sss" localSheetId="8" hidden="1">{#N/A,#N/A,FALSE,"전력간선"}</definedName>
    <definedName name="sss" localSheetId="7" hidden="1">{#N/A,#N/A,FALSE,"전력간선"}</definedName>
    <definedName name="sss" localSheetId="6" hidden="1">{#N/A,#N/A,FALSE,"전력간선"}</definedName>
    <definedName name="sss" hidden="1">{#N/A,#N/A,FALSE,"전력간선"}</definedName>
    <definedName name="Stacker수">[14]사양입력!$C$42</definedName>
    <definedName name="Sub._Beam간격">[14]사양입력!$C$50</definedName>
    <definedName name="Sub._Coloum최대Span">[14]사양입력!$C$49</definedName>
    <definedName name="SUN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UN" localSheetId="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UN" localSheetId="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UN" localSheetId="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UN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IU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IU" localSheetId="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IU" localSheetId="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IU" localSheetId="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IU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KY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KY" localSheetId="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KY" localSheetId="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KY" localSheetId="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KY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WED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D" localSheetId="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D" localSheetId="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D" localSheetId="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R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R" localSheetId="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R" localSheetId="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R" localSheetId="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R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V" localSheetId="5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WEV" localSheetId="8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WEV" localSheetId="7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WEV" localSheetId="6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WEV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wjsrl" localSheetId="8" hidden="1">'[16]6동'!#REF!</definedName>
    <definedName name="wjsrl" hidden="1">'[16]6동'!#REF!</definedName>
    <definedName name="wrn.CBA.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rn.CBA." localSheetId="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rn.CBA." localSheetId="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rn.CBA." localSheetId="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rn.CBA.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rn.CBA_RO." localSheetId="5" hidden="1">{#N/A,#N/A,FALSE,"C-001";#N/A,#N/A,FALSE,"C-002";#N/A,#N/A,FALSE,"C-003";#N/A,#N/A,FALSE,"C-004";#N/A,#N/A,FALSE,"C-005";#N/A,#N/A,FALSE,"C-006";#N/A,#N/A,FALSE,"C-007";#N/A,#N/A,FALSE,"C-008";#N/A,#N/A,FALSE,"CF-001";#N/A,#N/A,FALSE,"H-001";#N/A,#N/A,FALSE,"P-001";#N/A,#N/A,FALSE,"P-002";#N/A,#N/A,FALSE,"P-003";#N/A,#N/A,FALSE,"P-004";#N/A,#N/A,FALSE,"P-005";#N/A,#N/A,FALSE,"P-006";#N/A,#N/A,FALSE,"P-001,2,3,4,5";#N/A,#N/A,FALSE,"P-007";#N/A,#N/A,FALSE,"X-001";#N/A,#N/A,FALSE,"X-004"}</definedName>
    <definedName name="wrn.CBA_RO." localSheetId="8" hidden="1">{#N/A,#N/A,FALSE,"C-001";#N/A,#N/A,FALSE,"C-002";#N/A,#N/A,FALSE,"C-003";#N/A,#N/A,FALSE,"C-004";#N/A,#N/A,FALSE,"C-005";#N/A,#N/A,FALSE,"C-006";#N/A,#N/A,FALSE,"C-007";#N/A,#N/A,FALSE,"C-008";#N/A,#N/A,FALSE,"CF-001";#N/A,#N/A,FALSE,"H-001";#N/A,#N/A,FALSE,"P-001";#N/A,#N/A,FALSE,"P-002";#N/A,#N/A,FALSE,"P-003";#N/A,#N/A,FALSE,"P-004";#N/A,#N/A,FALSE,"P-005";#N/A,#N/A,FALSE,"P-006";#N/A,#N/A,FALSE,"P-001,2,3,4,5";#N/A,#N/A,FALSE,"P-007";#N/A,#N/A,FALSE,"X-001";#N/A,#N/A,FALSE,"X-004"}</definedName>
    <definedName name="wrn.CBA_RO." localSheetId="7" hidden="1">{#N/A,#N/A,FALSE,"C-001";#N/A,#N/A,FALSE,"C-002";#N/A,#N/A,FALSE,"C-003";#N/A,#N/A,FALSE,"C-004";#N/A,#N/A,FALSE,"C-005";#N/A,#N/A,FALSE,"C-006";#N/A,#N/A,FALSE,"C-007";#N/A,#N/A,FALSE,"C-008";#N/A,#N/A,FALSE,"CF-001";#N/A,#N/A,FALSE,"H-001";#N/A,#N/A,FALSE,"P-001";#N/A,#N/A,FALSE,"P-002";#N/A,#N/A,FALSE,"P-003";#N/A,#N/A,FALSE,"P-004";#N/A,#N/A,FALSE,"P-005";#N/A,#N/A,FALSE,"P-006";#N/A,#N/A,FALSE,"P-001,2,3,4,5";#N/A,#N/A,FALSE,"P-007";#N/A,#N/A,FALSE,"X-001";#N/A,#N/A,FALSE,"X-004"}</definedName>
    <definedName name="wrn.CBA_RO." localSheetId="6" hidden="1">{#N/A,#N/A,FALSE,"C-001";#N/A,#N/A,FALSE,"C-002";#N/A,#N/A,FALSE,"C-003";#N/A,#N/A,FALSE,"C-004";#N/A,#N/A,FALSE,"C-005";#N/A,#N/A,FALSE,"C-006";#N/A,#N/A,FALSE,"C-007";#N/A,#N/A,FALSE,"C-008";#N/A,#N/A,FALSE,"CF-001";#N/A,#N/A,FALSE,"H-001";#N/A,#N/A,FALSE,"P-001";#N/A,#N/A,FALSE,"P-002";#N/A,#N/A,FALSE,"P-003";#N/A,#N/A,FALSE,"P-004";#N/A,#N/A,FALSE,"P-005";#N/A,#N/A,FALSE,"P-006";#N/A,#N/A,FALSE,"P-001,2,3,4,5";#N/A,#N/A,FALSE,"P-007";#N/A,#N/A,FALSE,"X-001";#N/A,#N/A,FALSE,"X-004"}</definedName>
    <definedName name="wrn.CBA_RO." hidden="1">{#N/A,#N/A,FALSE,"C-001";#N/A,#N/A,FALSE,"C-002";#N/A,#N/A,FALSE,"C-003";#N/A,#N/A,FALSE,"C-004";#N/A,#N/A,FALSE,"C-005";#N/A,#N/A,FALSE,"C-006";#N/A,#N/A,FALSE,"C-007";#N/A,#N/A,FALSE,"C-008";#N/A,#N/A,FALSE,"CF-001";#N/A,#N/A,FALSE,"H-001";#N/A,#N/A,FALSE,"P-001";#N/A,#N/A,FALSE,"P-002";#N/A,#N/A,FALSE,"P-003";#N/A,#N/A,FALSE,"P-004";#N/A,#N/A,FALSE,"P-005";#N/A,#N/A,FALSE,"P-006";#N/A,#N/A,FALSE,"P-001,2,3,4,5";#N/A,#N/A,FALSE,"P-007";#N/A,#N/A,FALSE,"X-001";#N/A,#N/A,FALSE,"X-004"}</definedName>
    <definedName name="wrn.CBA_ST." localSheetId="5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wrn.CBA_ST." localSheetId="8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wrn.CBA_ST." localSheetId="7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wrn.CBA_ST." localSheetId="6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wrn.CBA_ST.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wrn.Hurricane._.Project._.NRE." localSheetId="5" hidden="1">{#N/A,#N/A,TRUE,"NRE";#N/A,#N/A,TRUE,"Tooling";#N/A,#N/A,TRUE,"Sample";#N/A,#N/A,TRUE,"Fixtures";#N/A,#N/A,TRUE,"Agency";#N/A,#N/A,TRUE,"Personnel"}</definedName>
    <definedName name="wrn.Hurricane._.Project._.NRE." localSheetId="8" hidden="1">{#N/A,#N/A,TRUE,"NRE";#N/A,#N/A,TRUE,"Tooling";#N/A,#N/A,TRUE,"Sample";#N/A,#N/A,TRUE,"Fixtures";#N/A,#N/A,TRUE,"Agency";#N/A,#N/A,TRUE,"Personnel"}</definedName>
    <definedName name="wrn.Hurricane._.Project._.NRE." localSheetId="7" hidden="1">{#N/A,#N/A,TRUE,"NRE";#N/A,#N/A,TRUE,"Tooling";#N/A,#N/A,TRUE,"Sample";#N/A,#N/A,TRUE,"Fixtures";#N/A,#N/A,TRUE,"Agency";#N/A,#N/A,TRUE,"Personnel"}</definedName>
    <definedName name="wrn.Hurricane._.Project._.NRE." localSheetId="6" hidden="1">{#N/A,#N/A,TRUE,"NRE";#N/A,#N/A,TRUE,"Tooling";#N/A,#N/A,TRUE,"Sample";#N/A,#N/A,TRUE,"Fixtures";#N/A,#N/A,TRUE,"Agency";#N/A,#N/A,TRUE,"Personnel"}</definedName>
    <definedName name="wrn.Hurricane._.Project._.NRE." hidden="1">{#N/A,#N/A,TRUE,"NRE";#N/A,#N/A,TRUE,"Tooling";#N/A,#N/A,TRUE,"Sample";#N/A,#N/A,TRUE,"Fixtures";#N/A,#N/A,TRUE,"Agency";#N/A,#N/A,TRUE,"Personnel"}</definedName>
    <definedName name="wrn.교육청." localSheetId="5" hidden="1">{#N/A,#N/A,FALSE,"전력간선"}</definedName>
    <definedName name="wrn.교육청." localSheetId="8" hidden="1">{#N/A,#N/A,FALSE,"전력간선"}</definedName>
    <definedName name="wrn.교육청." localSheetId="7" hidden="1">{#N/A,#N/A,FALSE,"전력간선"}</definedName>
    <definedName name="wrn.교육청." localSheetId="6" hidden="1">{#N/A,#N/A,FALSE,"전력간선"}</definedName>
    <definedName name="wrn.교육청." hidden="1">{#N/A,#N/A,FALSE,"전력간선"}</definedName>
    <definedName name="wrn.부산주경기장.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부산주경기장.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부산주경기장." localSheetId="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부산주경기장.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부산주경기장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신용찬." localSheetId="5" hidden="1">{#N/A,#N/A,TRUE,"토적및재료집계";#N/A,#N/A,TRUE,"토적및재료집계";#N/A,#N/A,TRUE,"단위량"}</definedName>
    <definedName name="wrn.신용찬." localSheetId="8" hidden="1">{#N/A,#N/A,TRUE,"토적및재료집계";#N/A,#N/A,TRUE,"토적및재료집계";#N/A,#N/A,TRUE,"단위량"}</definedName>
    <definedName name="wrn.신용찬." localSheetId="7" hidden="1">{#N/A,#N/A,TRUE,"토적및재료집계";#N/A,#N/A,TRUE,"토적및재료집계";#N/A,#N/A,TRUE,"단위량"}</definedName>
    <definedName name="wrn.신용찬." localSheetId="6" hidden="1">{#N/A,#N/A,TRUE,"토적및재료집계";#N/A,#N/A,TRUE,"토적및재료집계";#N/A,#N/A,TRUE,"단위량"}</definedName>
    <definedName name="wrn.신용찬." hidden="1">{#N/A,#N/A,TRUE,"토적및재료집계";#N/A,#N/A,TRUE,"토적및재료집계";#N/A,#N/A,TRUE,"단위량"}</definedName>
    <definedName name="wrn.안전관리계획." localSheetId="5" hidden="1">{#N/A,#N/A,FALSE,"Sheet1"}</definedName>
    <definedName name="wrn.안전관리계획." localSheetId="8" hidden="1">{#N/A,#N/A,FALSE,"Sheet1"}</definedName>
    <definedName name="wrn.안전관리계획." localSheetId="7" hidden="1">{#N/A,#N/A,FALSE,"Sheet1"}</definedName>
    <definedName name="wrn.안전관리계획." localSheetId="6" hidden="1">{#N/A,#N/A,FALSE,"Sheet1"}</definedName>
    <definedName name="wrn.안전관리계획." hidden="1">{#N/A,#N/A,FALSE,"Sheet1"}</definedName>
    <definedName name="wrn.통신지." localSheetId="5" hidden="1">{#N/A,#N/A,FALSE,"기안지";#N/A,#N/A,FALSE,"통신지"}</definedName>
    <definedName name="wrn.통신지." localSheetId="8" hidden="1">{#N/A,#N/A,FALSE,"기안지";#N/A,#N/A,FALSE,"통신지"}</definedName>
    <definedName name="wrn.통신지." localSheetId="7" hidden="1">{#N/A,#N/A,FALSE,"기안지";#N/A,#N/A,FALSE,"통신지"}</definedName>
    <definedName name="wrn.통신지." localSheetId="6" hidden="1">{#N/A,#N/A,FALSE,"기안지";#N/A,#N/A,FALSE,"통신지"}</definedName>
    <definedName name="wrn.통신지." hidden="1">{#N/A,#N/A,FALSE,"기안지";#N/A,#N/A,FALSE,"통신지"}</definedName>
    <definedName name="wrn.현장._.NCR._.분석." localSheetId="5" hidden="1">{#N/A,#N/A,FALSE,"현장 NCR 분석";#N/A,#N/A,FALSE,"현장품질감사";#N/A,#N/A,FALSE,"현장품질감사"}</definedName>
    <definedName name="wrn.현장._.NCR._.분석." localSheetId="8" hidden="1">{#N/A,#N/A,FALSE,"현장 NCR 분석";#N/A,#N/A,FALSE,"현장품질감사";#N/A,#N/A,FALSE,"현장품질감사"}</definedName>
    <definedName name="wrn.현장._.NCR._.분석." localSheetId="7" hidden="1">{#N/A,#N/A,FALSE,"현장 NCR 분석";#N/A,#N/A,FALSE,"현장품질감사";#N/A,#N/A,FALSE,"현장품질감사"}</definedName>
    <definedName name="wrn.현장._.NCR._.분석." localSheetId="6" hidden="1">{#N/A,#N/A,FALSE,"현장 NCR 분석";#N/A,#N/A,FALSE,"현장품질감사";#N/A,#N/A,FALSE,"현장품질감사"}</definedName>
    <definedName name="wrn.현장._.NCR._.분석." hidden="1">{#N/A,#N/A,FALSE,"현장 NCR 분석";#N/A,#N/A,FALSE,"현장품질감사";#N/A,#N/A,FALSE,"현장품질감사"}</definedName>
    <definedName name="ww" localSheetId="5" hidden="1">{#N/A,#N/A,TRUE,"NRE";#N/A,#N/A,TRUE,"Tooling";#N/A,#N/A,TRUE,"Sample";#N/A,#N/A,TRUE,"Fixtures";#N/A,#N/A,TRUE,"Agency";#N/A,#N/A,TRUE,"Personnel"}</definedName>
    <definedName name="ww" localSheetId="8" hidden="1">{#N/A,#N/A,TRUE,"NRE";#N/A,#N/A,TRUE,"Tooling";#N/A,#N/A,TRUE,"Sample";#N/A,#N/A,TRUE,"Fixtures";#N/A,#N/A,TRUE,"Agency";#N/A,#N/A,TRUE,"Personnel"}</definedName>
    <definedName name="ww" localSheetId="7" hidden="1">{#N/A,#N/A,TRUE,"NRE";#N/A,#N/A,TRUE,"Tooling";#N/A,#N/A,TRUE,"Sample";#N/A,#N/A,TRUE,"Fixtures";#N/A,#N/A,TRUE,"Agency";#N/A,#N/A,TRUE,"Personnel"}</definedName>
    <definedName name="ww" localSheetId="6" hidden="1">{#N/A,#N/A,TRUE,"NRE";#N/A,#N/A,TRUE,"Tooling";#N/A,#N/A,TRUE,"Sample";#N/A,#N/A,TRUE,"Fixtures";#N/A,#N/A,TRUE,"Agency";#N/A,#N/A,TRUE,"Personnel"}</definedName>
    <definedName name="ww" hidden="1">{#N/A,#N/A,TRUE,"NRE";#N/A,#N/A,TRUE,"Tooling";#N/A,#N/A,TRUE,"Sample";#N/A,#N/A,TRUE,"Fixtures";#N/A,#N/A,TRUE,"Agency";#N/A,#N/A,TRUE,"Personnel"}</definedName>
    <definedName name="WWW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WW" localSheetId="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WW" localSheetId="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WW" localSheetId="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WW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XPDLQMF" localSheetId="5" hidden="1">{#N/A,#N/A,TRUE,"NRE";#N/A,#N/A,TRUE,"Tooling";#N/A,#N/A,TRUE,"Sample";#N/A,#N/A,TRUE,"Fixtures";#N/A,#N/A,TRUE,"Agency";#N/A,#N/A,TRUE,"Personnel"}</definedName>
    <definedName name="XPDLQMF" localSheetId="8" hidden="1">{#N/A,#N/A,TRUE,"NRE";#N/A,#N/A,TRUE,"Tooling";#N/A,#N/A,TRUE,"Sample";#N/A,#N/A,TRUE,"Fixtures";#N/A,#N/A,TRUE,"Agency";#N/A,#N/A,TRUE,"Personnel"}</definedName>
    <definedName name="XPDLQMF" localSheetId="7" hidden="1">{#N/A,#N/A,TRUE,"NRE";#N/A,#N/A,TRUE,"Tooling";#N/A,#N/A,TRUE,"Sample";#N/A,#N/A,TRUE,"Fixtures";#N/A,#N/A,TRUE,"Agency";#N/A,#N/A,TRUE,"Personnel"}</definedName>
    <definedName name="XPDLQMF" localSheetId="6" hidden="1">{#N/A,#N/A,TRUE,"NRE";#N/A,#N/A,TRUE,"Tooling";#N/A,#N/A,TRUE,"Sample";#N/A,#N/A,TRUE,"Fixtures";#N/A,#N/A,TRUE,"Agency";#N/A,#N/A,TRUE,"Personnel"}</definedName>
    <definedName name="XPDLQMF" hidden="1">{#N/A,#N/A,TRUE,"NRE";#N/A,#N/A,TRUE,"Tooling";#N/A,#N/A,TRUE,"Sample";#N/A,#N/A,TRUE,"Fixtures";#N/A,#N/A,TRUE,"Agency";#N/A,#N/A,TRUE,"Personnel"}</definedName>
    <definedName name="YU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U" localSheetId="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U" localSheetId="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U" localSheetId="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U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UG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UG" localSheetId="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UG" localSheetId="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UG" localSheetId="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U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Z_E8FEE9A5_163A_11D2_AED0_0000E81DA68C_.wvu.Rows" localSheetId="5" hidden="1">#REF!</definedName>
    <definedName name="Z_E8FEE9A5_163A_11D2_AED0_0000E81DA68C_.wvu.Rows" localSheetId="8" hidden="1">#REF!</definedName>
    <definedName name="Z_E8FEE9A5_163A_11D2_AED0_0000E81DA68C_.wvu.Rows" localSheetId="7" hidden="1">#REF!</definedName>
    <definedName name="Z_E8FEE9A5_163A_11D2_AED0_0000E81DA68C_.wvu.Rows" localSheetId="6" hidden="1">#REF!</definedName>
    <definedName name="Z_E8FEE9A5_163A_11D2_AED0_0000E81DA68C_.wvu.Rows" hidden="1">#REF!</definedName>
    <definedName name="ZXC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ZXC" localSheetId="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ZXC" localSheetId="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ZXC" localSheetId="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ZXC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갑지1" localSheetId="8" hidden="1">[17]G2설비도급!#REF!</definedName>
    <definedName name="갑지1" hidden="1">[17]G2설비도급!#REF!</definedName>
    <definedName name="갑지변경" localSheetId="5" hidden="1">{#N/A,#N/A,FALSE,"전력간선"}</definedName>
    <definedName name="갑지변경" localSheetId="8" hidden="1">{#N/A,#N/A,FALSE,"전력간선"}</definedName>
    <definedName name="갑지변경" localSheetId="7" hidden="1">{#N/A,#N/A,FALSE,"전력간선"}</definedName>
    <definedName name="갑지변경" localSheetId="6" hidden="1">{#N/A,#N/A,FALSE,"전력간선"}</definedName>
    <definedName name="갑지변경" hidden="1">{#N/A,#N/A,FALSE,"전력간선"}</definedName>
    <definedName name="갑지변경1" localSheetId="5" hidden="1">{#N/A,#N/A,FALSE,"전력간선"}</definedName>
    <definedName name="갑지변경1" localSheetId="8" hidden="1">{#N/A,#N/A,FALSE,"전력간선"}</definedName>
    <definedName name="갑지변경1" localSheetId="7" hidden="1">{#N/A,#N/A,FALSE,"전력간선"}</definedName>
    <definedName name="갑지변경1" localSheetId="6" hidden="1">{#N/A,#N/A,FALSE,"전력간선"}</definedName>
    <definedName name="갑지변경1" hidden="1">{#N/A,#N/A,FALSE,"전력간선"}</definedName>
    <definedName name="갑지변경2" localSheetId="5" hidden="1">{#N/A,#N/A,FALSE,"전력간선"}</definedName>
    <definedName name="갑지변경2" localSheetId="8" hidden="1">{#N/A,#N/A,FALSE,"전력간선"}</definedName>
    <definedName name="갑지변경2" localSheetId="7" hidden="1">{#N/A,#N/A,FALSE,"전력간선"}</definedName>
    <definedName name="갑지변경2" localSheetId="6" hidden="1">{#N/A,#N/A,FALSE,"전력간선"}</definedName>
    <definedName name="갑지변경2" hidden="1">{#N/A,#N/A,FALSE,"전력간선"}</definedName>
    <definedName name="갑지변경3" localSheetId="5" hidden="1">{#N/A,#N/A,FALSE,"전력간선"}</definedName>
    <definedName name="갑지변경3" localSheetId="8" hidden="1">{#N/A,#N/A,FALSE,"전력간선"}</definedName>
    <definedName name="갑지변경3" localSheetId="7" hidden="1">{#N/A,#N/A,FALSE,"전력간선"}</definedName>
    <definedName name="갑지변경3" localSheetId="6" hidden="1">{#N/A,#N/A,FALSE,"전력간선"}</definedName>
    <definedName name="갑지변경3" hidden="1">{#N/A,#N/A,FALSE,"전력간선"}</definedName>
    <definedName name="갑지변경4" localSheetId="5" hidden="1">{#N/A,#N/A,FALSE,"전력간선"}</definedName>
    <definedName name="갑지변경4" localSheetId="8" hidden="1">{#N/A,#N/A,FALSE,"전력간선"}</definedName>
    <definedName name="갑지변경4" localSheetId="7" hidden="1">{#N/A,#N/A,FALSE,"전력간선"}</definedName>
    <definedName name="갑지변경4" localSheetId="6" hidden="1">{#N/A,#N/A,FALSE,"전력간선"}</definedName>
    <definedName name="갑지변경4" hidden="1">{#N/A,#N/A,FALSE,"전력간선"}</definedName>
    <definedName name="갑지변경5" localSheetId="5" hidden="1">{#N/A,#N/A,FALSE,"전력간선"}</definedName>
    <definedName name="갑지변경5" localSheetId="8" hidden="1">{#N/A,#N/A,FALSE,"전력간선"}</definedName>
    <definedName name="갑지변경5" localSheetId="7" hidden="1">{#N/A,#N/A,FALSE,"전력간선"}</definedName>
    <definedName name="갑지변경5" localSheetId="6" hidden="1">{#N/A,#N/A,FALSE,"전력간선"}</definedName>
    <definedName name="갑지변경5" hidden="1">{#N/A,#N/A,FALSE,"전력간선"}</definedName>
    <definedName name="갑지변경6" localSheetId="5" hidden="1">{#N/A,#N/A,FALSE,"전력간선"}</definedName>
    <definedName name="갑지변경6" localSheetId="8" hidden="1">{#N/A,#N/A,FALSE,"전력간선"}</definedName>
    <definedName name="갑지변경6" localSheetId="7" hidden="1">{#N/A,#N/A,FALSE,"전력간선"}</definedName>
    <definedName name="갑지변경6" localSheetId="6" hidden="1">{#N/A,#N/A,FALSE,"전력간선"}</definedName>
    <definedName name="갑지변경6" hidden="1">{#N/A,#N/A,FALSE,"전력간선"}</definedName>
    <definedName name="갑지변경7" localSheetId="5" hidden="1">{#N/A,#N/A,FALSE,"전력간선"}</definedName>
    <definedName name="갑지변경7" localSheetId="8" hidden="1">{#N/A,#N/A,FALSE,"전력간선"}</definedName>
    <definedName name="갑지변경7" localSheetId="7" hidden="1">{#N/A,#N/A,FALSE,"전력간선"}</definedName>
    <definedName name="갑지변경7" localSheetId="6" hidden="1">{#N/A,#N/A,FALSE,"전력간선"}</definedName>
    <definedName name="갑지변경7" hidden="1">{#N/A,#N/A,FALSE,"전력간선"}</definedName>
    <definedName name="갑지변경8" localSheetId="5" hidden="1">{#N/A,#N/A,FALSE,"전력간선"}</definedName>
    <definedName name="갑지변경8" localSheetId="8" hidden="1">{#N/A,#N/A,FALSE,"전력간선"}</definedName>
    <definedName name="갑지변경8" localSheetId="7" hidden="1">{#N/A,#N/A,FALSE,"전력간선"}</definedName>
    <definedName name="갑지변경8" localSheetId="6" hidden="1">{#N/A,#N/A,FALSE,"전력간선"}</definedName>
    <definedName name="갑지변경8" hidden="1">{#N/A,#N/A,FALSE,"전력간선"}</definedName>
    <definedName name="갑지변경9" localSheetId="5" hidden="1">{#N/A,#N/A,FALSE,"전력간선"}</definedName>
    <definedName name="갑지변경9" localSheetId="8" hidden="1">{#N/A,#N/A,FALSE,"전력간선"}</definedName>
    <definedName name="갑지변경9" localSheetId="7" hidden="1">{#N/A,#N/A,FALSE,"전력간선"}</definedName>
    <definedName name="갑지변경9" localSheetId="6" hidden="1">{#N/A,#N/A,FALSE,"전력간선"}</definedName>
    <definedName name="갑지변경9" hidden="1">{#N/A,#N/A,FALSE,"전력간선"}</definedName>
    <definedName name="견적2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2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2" localSheetId="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2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3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3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3" localSheetId="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3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4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4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4" localSheetId="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4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경상비2" localSheetId="5" hidden="1">{#N/A,#N/A,FALSE,"기안지";#N/A,#N/A,FALSE,"통신지"}</definedName>
    <definedName name="경상비2" localSheetId="8" hidden="1">{#N/A,#N/A,FALSE,"기안지";#N/A,#N/A,FALSE,"통신지"}</definedName>
    <definedName name="경상비2" localSheetId="7" hidden="1">{#N/A,#N/A,FALSE,"기안지";#N/A,#N/A,FALSE,"통신지"}</definedName>
    <definedName name="경상비2" localSheetId="6" hidden="1">{#N/A,#N/A,FALSE,"기안지";#N/A,#N/A,FALSE,"통신지"}</definedName>
    <definedName name="경상비2" hidden="1">{#N/A,#N/A,FALSE,"기안지";#N/A,#N/A,FALSE,"통신지"}</definedName>
    <definedName name="계측기기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계측기기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계측기기" localSheetId="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계측기기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계측기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" localSheetId="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localSheetId="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장동" localSheetId="5" hidden="1">#REF!</definedName>
    <definedName name="공장동" localSheetId="8" hidden="1">#REF!</definedName>
    <definedName name="공장동" localSheetId="7" hidden="1">#REF!</definedName>
    <definedName name="공장동" localSheetId="6" hidden="1">#REF!</definedName>
    <definedName name="공장동" hidden="1">#REF!</definedName>
    <definedName name="공종별대비" localSheetId="5" hidden="1">{#N/A,#N/A,FALSE,"기안지";#N/A,#N/A,FALSE,"통신지"}</definedName>
    <definedName name="공종별대비" localSheetId="8" hidden="1">{#N/A,#N/A,FALSE,"기안지";#N/A,#N/A,FALSE,"통신지"}</definedName>
    <definedName name="공종별대비" localSheetId="7" hidden="1">{#N/A,#N/A,FALSE,"기안지";#N/A,#N/A,FALSE,"통신지"}</definedName>
    <definedName name="공종별대비" localSheetId="6" hidden="1">{#N/A,#N/A,FALSE,"기안지";#N/A,#N/A,FALSE,"통신지"}</definedName>
    <definedName name="공종별대비" hidden="1">{#N/A,#N/A,FALSE,"기안지";#N/A,#N/A,FALSE,"통신지"}</definedName>
    <definedName name="교굑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굑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굑" localSheetId="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굑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권k" localSheetId="5" hidden="1">{#N/A,#N/A,TRUE,"NRE";#N/A,#N/A,TRUE,"Tooling";#N/A,#N/A,TRUE,"Sample";#N/A,#N/A,TRUE,"Fixtures";#N/A,#N/A,TRUE,"Agency";#N/A,#N/A,TRUE,"Personnel"}</definedName>
    <definedName name="권k" localSheetId="8" hidden="1">{#N/A,#N/A,TRUE,"NRE";#N/A,#N/A,TRUE,"Tooling";#N/A,#N/A,TRUE,"Sample";#N/A,#N/A,TRUE,"Fixtures";#N/A,#N/A,TRUE,"Agency";#N/A,#N/A,TRUE,"Personnel"}</definedName>
    <definedName name="권k" localSheetId="7" hidden="1">{#N/A,#N/A,TRUE,"NRE";#N/A,#N/A,TRUE,"Tooling";#N/A,#N/A,TRUE,"Sample";#N/A,#N/A,TRUE,"Fixtures";#N/A,#N/A,TRUE,"Agency";#N/A,#N/A,TRUE,"Personnel"}</definedName>
    <definedName name="권k" localSheetId="6" hidden="1">{#N/A,#N/A,TRUE,"NRE";#N/A,#N/A,TRUE,"Tooling";#N/A,#N/A,TRUE,"Sample";#N/A,#N/A,TRUE,"Fixtures";#N/A,#N/A,TRUE,"Agency";#N/A,#N/A,TRUE,"Personnel"}</definedName>
    <definedName name="권k" hidden="1">{#N/A,#N/A,TRUE,"NRE";#N/A,#N/A,TRUE,"Tooling";#N/A,#N/A,TRUE,"Sample";#N/A,#N/A,TRUE,"Fixtures";#N/A,#N/A,TRUE,"Agency";#N/A,#N/A,TRUE,"Personnel"}</definedName>
    <definedName name="ㄴㅇㄴㅇㄴㅇ" localSheetId="5" hidden="1">{#N/A,#N/A,FALSE,"전력간선"}</definedName>
    <definedName name="ㄴㅇㄴㅇㄴㅇ" localSheetId="8" hidden="1">{#N/A,#N/A,FALSE,"전력간선"}</definedName>
    <definedName name="ㄴㅇㄴㅇㄴㅇ" localSheetId="7" hidden="1">{#N/A,#N/A,FALSE,"전력간선"}</definedName>
    <definedName name="ㄴㅇㄴㅇㄴㅇ" localSheetId="6" hidden="1">{#N/A,#N/A,FALSE,"전력간선"}</definedName>
    <definedName name="ㄴㅇㄴㅇㄴㅇ" hidden="1">{#N/A,#N/A,FALSE,"전력간선"}</definedName>
    <definedName name="ㄴㅇㄹㄴㄳㅂ3ㅅㄱㅂ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ㅇㄹㄴㄳㅂ3ㅅㄱㅂ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ㅇㄹㄴㄳㅂ3ㅅㄱㅂ" localSheetId="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ㅇㄹㄴㄳㅂ3ㅅㄱㅂ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ㅇㄹㄴㄳㅂ3ㅅㄱㅂ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ㅇㄹㄴㅇㄹㄴㅇㄹ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ㅇㄹㄴㅇㄹㄴㅇㄹ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ㅇㄹㄴㅇㄹㄴㅇㄹ" localSheetId="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ㅇㄹㄴㅇㄹㄴㅇㄹ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ㅇㄹㄴㅇㄹㄴㅇ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내역서갑지" localSheetId="5" hidden="1">{#N/A,#N/A,FALSE,"전력간선"}</definedName>
    <definedName name="내역서갑지" localSheetId="8" hidden="1">{#N/A,#N/A,FALSE,"전력간선"}</definedName>
    <definedName name="내역서갑지" localSheetId="7" hidden="1">{#N/A,#N/A,FALSE,"전력간선"}</definedName>
    <definedName name="내역서갑지" localSheetId="6" hidden="1">{#N/A,#N/A,FALSE,"전력간선"}</definedName>
    <definedName name="내역서갑지" hidden="1">{#N/A,#N/A,FALSE,"전력간선"}</definedName>
    <definedName name="내역서갑지1" localSheetId="5" hidden="1">{#N/A,#N/A,FALSE,"전력간선"}</definedName>
    <definedName name="내역서갑지1" localSheetId="8" hidden="1">{#N/A,#N/A,FALSE,"전력간선"}</definedName>
    <definedName name="내역서갑지1" localSheetId="7" hidden="1">{#N/A,#N/A,FALSE,"전력간선"}</definedName>
    <definedName name="내역서갑지1" localSheetId="6" hidden="1">{#N/A,#N/A,FALSE,"전력간선"}</definedName>
    <definedName name="내역서갑지1" hidden="1">{#N/A,#N/A,FALSE,"전력간선"}</definedName>
    <definedName name="내역서갑지12" localSheetId="5" hidden="1">{#N/A,#N/A,FALSE,"전력간선"}</definedName>
    <definedName name="내역서갑지12" localSheetId="8" hidden="1">{#N/A,#N/A,FALSE,"전력간선"}</definedName>
    <definedName name="내역서갑지12" localSheetId="7" hidden="1">{#N/A,#N/A,FALSE,"전력간선"}</definedName>
    <definedName name="내역서갑지12" localSheetId="6" hidden="1">{#N/A,#N/A,FALSE,"전력간선"}</definedName>
    <definedName name="내역서갑지12" hidden="1">{#N/A,#N/A,FALSE,"전력간선"}</definedName>
    <definedName name="내역서갑지2" localSheetId="5" hidden="1">{#N/A,#N/A,FALSE,"전력간선"}</definedName>
    <definedName name="내역서갑지2" localSheetId="8" hidden="1">{#N/A,#N/A,FALSE,"전력간선"}</definedName>
    <definedName name="내역서갑지2" localSheetId="7" hidden="1">{#N/A,#N/A,FALSE,"전력간선"}</definedName>
    <definedName name="내역서갑지2" localSheetId="6" hidden="1">{#N/A,#N/A,FALSE,"전력간선"}</definedName>
    <definedName name="내역서갑지2" hidden="1">{#N/A,#N/A,FALSE,"전력간선"}</definedName>
    <definedName name="내역서갑지3" localSheetId="5" hidden="1">{#N/A,#N/A,FALSE,"전력간선"}</definedName>
    <definedName name="내역서갑지3" localSheetId="8" hidden="1">{#N/A,#N/A,FALSE,"전력간선"}</definedName>
    <definedName name="내역서갑지3" localSheetId="7" hidden="1">{#N/A,#N/A,FALSE,"전력간선"}</definedName>
    <definedName name="내역서갑지3" localSheetId="6" hidden="1">{#N/A,#N/A,FALSE,"전력간선"}</definedName>
    <definedName name="내역서갑지3" hidden="1">{#N/A,#N/A,FALSE,"전력간선"}</definedName>
    <definedName name="내역서갑지4" localSheetId="5" hidden="1">{#N/A,#N/A,FALSE,"전력간선"}</definedName>
    <definedName name="내역서갑지4" localSheetId="8" hidden="1">{#N/A,#N/A,FALSE,"전력간선"}</definedName>
    <definedName name="내역서갑지4" localSheetId="7" hidden="1">{#N/A,#N/A,FALSE,"전력간선"}</definedName>
    <definedName name="내역서갑지4" localSheetId="6" hidden="1">{#N/A,#N/A,FALSE,"전력간선"}</definedName>
    <definedName name="내역서갑지4" hidden="1">{#N/A,#N/A,FALSE,"전력간선"}</definedName>
    <definedName name="내역서갑지5" localSheetId="5" hidden="1">{#N/A,#N/A,FALSE,"전력간선"}</definedName>
    <definedName name="내역서갑지5" localSheetId="8" hidden="1">{#N/A,#N/A,FALSE,"전력간선"}</definedName>
    <definedName name="내역서갑지5" localSheetId="7" hidden="1">{#N/A,#N/A,FALSE,"전력간선"}</definedName>
    <definedName name="내역서갑지5" localSheetId="6" hidden="1">{#N/A,#N/A,FALSE,"전력간선"}</definedName>
    <definedName name="내역서갑지5" hidden="1">{#N/A,#N/A,FALSE,"전력간선"}</definedName>
    <definedName name="내역서갑지6" localSheetId="5" hidden="1">{#N/A,#N/A,FALSE,"전력간선"}</definedName>
    <definedName name="내역서갑지6" localSheetId="8" hidden="1">{#N/A,#N/A,FALSE,"전력간선"}</definedName>
    <definedName name="내역서갑지6" localSheetId="7" hidden="1">{#N/A,#N/A,FALSE,"전력간선"}</definedName>
    <definedName name="내역서갑지6" localSheetId="6" hidden="1">{#N/A,#N/A,FALSE,"전력간선"}</definedName>
    <definedName name="내역서갑지6" hidden="1">{#N/A,#N/A,FALSE,"전력간선"}</definedName>
    <definedName name="내역서갑지7" localSheetId="5" hidden="1">{#N/A,#N/A,FALSE,"전력간선"}</definedName>
    <definedName name="내역서갑지7" localSheetId="8" hidden="1">{#N/A,#N/A,FALSE,"전력간선"}</definedName>
    <definedName name="내역서갑지7" localSheetId="7" hidden="1">{#N/A,#N/A,FALSE,"전력간선"}</definedName>
    <definedName name="내역서갑지7" localSheetId="6" hidden="1">{#N/A,#N/A,FALSE,"전력간선"}</definedName>
    <definedName name="내역서갑지7" hidden="1">{#N/A,#N/A,FALSE,"전력간선"}</definedName>
    <definedName name="내역서갑지8" localSheetId="5" hidden="1">{#N/A,#N/A,FALSE,"전력간선"}</definedName>
    <definedName name="내역서갑지8" localSheetId="8" hidden="1">{#N/A,#N/A,FALSE,"전력간선"}</definedName>
    <definedName name="내역서갑지8" localSheetId="7" hidden="1">{#N/A,#N/A,FALSE,"전력간선"}</definedName>
    <definedName name="내역서갑지8" localSheetId="6" hidden="1">{#N/A,#N/A,FALSE,"전력간선"}</definedName>
    <definedName name="내역서갑지8" hidden="1">{#N/A,#N/A,FALSE,"전력간선"}</definedName>
    <definedName name="내역서갑지9" localSheetId="5" hidden="1">{#N/A,#N/A,FALSE,"전력간선"}</definedName>
    <definedName name="내역서갑지9" localSheetId="8" hidden="1">{#N/A,#N/A,FALSE,"전력간선"}</definedName>
    <definedName name="내역서갑지9" localSheetId="7" hidden="1">{#N/A,#N/A,FALSE,"전력간선"}</definedName>
    <definedName name="내역서갑지9" localSheetId="6" hidden="1">{#N/A,#N/A,FALSE,"전력간선"}</definedName>
    <definedName name="내역서갑지9" hidden="1">{#N/A,#N/A,FALSE,"전력간선"}</definedName>
    <definedName name="노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" localSheetId="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1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1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1" localSheetId="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1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localSheetId="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localSheetId="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단가조사자료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단가조사자료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단가조사자료" localSheetId="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단가조사자료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단가조사자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구공항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구공항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구공항" localSheetId="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구공항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구공항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비" localSheetId="5" hidden="1">{#N/A,#N/A,FALSE,"기안지";#N/A,#N/A,FALSE,"통신지"}</definedName>
    <definedName name="도급비" localSheetId="8" hidden="1">{#N/A,#N/A,FALSE,"기안지";#N/A,#N/A,FALSE,"통신지"}</definedName>
    <definedName name="도급비" localSheetId="7" hidden="1">{#N/A,#N/A,FALSE,"기안지";#N/A,#N/A,FALSE,"통신지"}</definedName>
    <definedName name="도급비" localSheetId="6" hidden="1">{#N/A,#N/A,FALSE,"기안지";#N/A,#N/A,FALSE,"통신지"}</definedName>
    <definedName name="도급비" hidden="1">{#N/A,#N/A,FALSE,"기안지";#N/A,#N/A,FALSE,"통신지"}</definedName>
    <definedName name="도사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사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사" localSheetId="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사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듣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듣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듣" localSheetId="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듣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ㄴㅇㄹ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ㄴㅇㄹ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ㄴㅇㄹ" localSheetId="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ㄴㅇㄹ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ㄴㅇ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" localSheetId="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" localSheetId="5" hidden="1">#REF!</definedName>
    <definedName name="ㅁ" localSheetId="8" hidden="1">#REF!</definedName>
    <definedName name="ㅁ" localSheetId="7" hidden="1">#REF!</definedName>
    <definedName name="ㅁ" localSheetId="6" hidden="1">#REF!</definedName>
    <definedName name="ㅁ" hidden="1">#REF!</definedName>
    <definedName name="ㅁㄴㅇㅁㄴㅇ" localSheetId="8" hidden="1">#REF!</definedName>
    <definedName name="ㅁㄴㅇㅁㄴㅇ" hidden="1">#REF!</definedName>
    <definedName name="마감콘크리트두께">[14]사양입력!$C$57</definedName>
    <definedName name="물가변동내역서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물가변동내역서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물가변동내역서" localSheetId="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물가변동내역서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물가변동내역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3ㄱㅂ3ㄱ" localSheetId="5" hidden="1">{#N/A,#N/A,FALSE,"현장 NCR 분석";#N/A,#N/A,FALSE,"현장품질감사";#N/A,#N/A,FALSE,"현장품질감사"}</definedName>
    <definedName name="ㅂ3ㄱㅂ3ㄱ" localSheetId="8" hidden="1">{#N/A,#N/A,FALSE,"현장 NCR 분석";#N/A,#N/A,FALSE,"현장품질감사";#N/A,#N/A,FALSE,"현장품질감사"}</definedName>
    <definedName name="ㅂ3ㄱㅂ3ㄱ" localSheetId="7" hidden="1">{#N/A,#N/A,FALSE,"현장 NCR 분석";#N/A,#N/A,FALSE,"현장품질감사";#N/A,#N/A,FALSE,"현장품질감사"}</definedName>
    <definedName name="ㅂ3ㄱㅂ3ㄱ" localSheetId="6" hidden="1">{#N/A,#N/A,FALSE,"현장 NCR 분석";#N/A,#N/A,FALSE,"현장품질감사";#N/A,#N/A,FALSE,"현장품질감사"}</definedName>
    <definedName name="ㅂ3ㄱㅂ3ㄱ" hidden="1">{#N/A,#N/A,FALSE,"현장 NCR 분석";#N/A,#N/A,FALSE,"현장품질감사";#N/A,#N/A,FALSE,"현장품질감사"}</definedName>
    <definedName name="ㅂㅂ" localSheetId="5" hidden="1">#REF!</definedName>
    <definedName name="ㅂㅂ" localSheetId="8" hidden="1">#REF!</definedName>
    <definedName name="ㅂㅂ" localSheetId="7" hidden="1">#REF!</definedName>
    <definedName name="ㅂㅂ" localSheetId="6" hidden="1">#REF!</definedName>
    <definedName name="ㅂㅂ" hidden="1">#REF!</definedName>
    <definedName name="ㅂㅂ3ㄱㅂ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ㅂ3ㄱㅂ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ㅂ3ㄱㅂ" localSheetId="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ㅂ3ㄱㅂ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ㅂ3ㄱㅂ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ㅂㅂ">[18]DATA!$A$403:$B$413</definedName>
    <definedName name="보강Beam단수">[14]사양입력!$C$39</definedName>
    <definedName name="보오링그라우팅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오링그라우팅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오링그라우팅" localSheetId="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오링그라우팅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오링그라우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분검토의견" localSheetId="5" hidden="1">{#N/A,#N/A,FALSE,"기안지";#N/A,#N/A,FALSE,"통신지"}</definedName>
    <definedName name="부분검토의견" localSheetId="8" hidden="1">{#N/A,#N/A,FALSE,"기안지";#N/A,#N/A,FALSE,"통신지"}</definedName>
    <definedName name="부분검토의견" localSheetId="7" hidden="1">{#N/A,#N/A,FALSE,"기안지";#N/A,#N/A,FALSE,"통신지"}</definedName>
    <definedName name="부분검토의견" localSheetId="6" hidden="1">{#N/A,#N/A,FALSE,"기안지";#N/A,#N/A,FALSE,"통신지"}</definedName>
    <definedName name="부분검토의견" hidden="1">{#N/A,#N/A,FALSE,"기안지";#N/A,#N/A,FALSE,"통신지"}</definedName>
    <definedName name="부손익" localSheetId="5" hidden="1">{#N/A,#N/A,FALSE,"현장 NCR 분석";#N/A,#N/A,FALSE,"현장품질감사";#N/A,#N/A,FALSE,"현장품질감사"}</definedName>
    <definedName name="부손익" localSheetId="8" hidden="1">{#N/A,#N/A,FALSE,"현장 NCR 분석";#N/A,#N/A,FALSE,"현장품질감사";#N/A,#N/A,FALSE,"현장품질감사"}</definedName>
    <definedName name="부손익" localSheetId="7" hidden="1">{#N/A,#N/A,FALSE,"현장 NCR 분석";#N/A,#N/A,FALSE,"현장품질감사";#N/A,#N/A,FALSE,"현장품질감사"}</definedName>
    <definedName name="부손익" localSheetId="6" hidden="1">{#N/A,#N/A,FALSE,"현장 NCR 분석";#N/A,#N/A,FALSE,"현장품질감사";#N/A,#N/A,FALSE,"현장품질감사"}</definedName>
    <definedName name="부손익" hidden="1">{#N/A,#N/A,FALSE,"현장 NCR 분석";#N/A,#N/A,FALSE,"현장품질감사";#N/A,#N/A,FALSE,"현장품질감사"}</definedName>
    <definedName name="비교테이블" localSheetId="5" hidden="1">{#N/A,#N/A,TRUE,"NRE";#N/A,#N/A,TRUE,"Tooling";#N/A,#N/A,TRUE,"Sample";#N/A,#N/A,TRUE,"Fixtures";#N/A,#N/A,TRUE,"Agency";#N/A,#N/A,TRUE,"Personnel"}</definedName>
    <definedName name="비교테이블" localSheetId="8" hidden="1">{#N/A,#N/A,TRUE,"NRE";#N/A,#N/A,TRUE,"Tooling";#N/A,#N/A,TRUE,"Sample";#N/A,#N/A,TRUE,"Fixtures";#N/A,#N/A,TRUE,"Agency";#N/A,#N/A,TRUE,"Personnel"}</definedName>
    <definedName name="비교테이블" localSheetId="7" hidden="1">{#N/A,#N/A,TRUE,"NRE";#N/A,#N/A,TRUE,"Tooling";#N/A,#N/A,TRUE,"Sample";#N/A,#N/A,TRUE,"Fixtures";#N/A,#N/A,TRUE,"Agency";#N/A,#N/A,TRUE,"Personnel"}</definedName>
    <definedName name="비교테이블" localSheetId="6" hidden="1">{#N/A,#N/A,TRUE,"NRE";#N/A,#N/A,TRUE,"Tooling";#N/A,#N/A,TRUE,"Sample";#N/A,#N/A,TRUE,"Fixtures";#N/A,#N/A,TRUE,"Agency";#N/A,#N/A,TRUE,"Personnel"}</definedName>
    <definedName name="비교테이블" hidden="1">{#N/A,#N/A,TRUE,"NRE";#N/A,#N/A,TRUE,"Tooling";#N/A,#N/A,TRUE,"Sample";#N/A,#N/A,TRUE,"Fixtures";#N/A,#N/A,TRUE,"Agency";#N/A,#N/A,TRUE,"Personnel"}</definedName>
    <definedName name="설계" localSheetId="5" hidden="1">{#N/A,#N/A,FALSE,"전력간선"}</definedName>
    <definedName name="설계" localSheetId="8" hidden="1">{#N/A,#N/A,FALSE,"전력간선"}</definedName>
    <definedName name="설계" localSheetId="7" hidden="1">{#N/A,#N/A,FALSE,"전력간선"}</definedName>
    <definedName name="설계" localSheetId="6" hidden="1">{#N/A,#N/A,FALSE,"전력간선"}</definedName>
    <definedName name="설계" hidden="1">{#N/A,#N/A,FALSE,"전력간선"}</definedName>
    <definedName name="설계설명서2" localSheetId="5" hidden="1">{#N/A,#N/A,FALSE,"전력간선"}</definedName>
    <definedName name="설계설명서2" localSheetId="8" hidden="1">{#N/A,#N/A,FALSE,"전력간선"}</definedName>
    <definedName name="설계설명서2" localSheetId="7" hidden="1">{#N/A,#N/A,FALSE,"전력간선"}</definedName>
    <definedName name="설계설명서2" localSheetId="6" hidden="1">{#N/A,#N/A,FALSE,"전력간선"}</definedName>
    <definedName name="설계설명서2" hidden="1">{#N/A,#N/A,FALSE,"전력간선"}</definedName>
    <definedName name="설계설명서3" localSheetId="5" hidden="1">{#N/A,#N/A,FALSE,"전력간선"}</definedName>
    <definedName name="설계설명서3" localSheetId="8" hidden="1">{#N/A,#N/A,FALSE,"전력간선"}</definedName>
    <definedName name="설계설명서3" localSheetId="7" hidden="1">{#N/A,#N/A,FALSE,"전력간선"}</definedName>
    <definedName name="설계설명서3" localSheetId="6" hidden="1">{#N/A,#N/A,FALSE,"전력간선"}</definedName>
    <definedName name="설계설명서3" hidden="1">{#N/A,#N/A,FALSE,"전력간선"}</definedName>
    <definedName name="설계설명서4" localSheetId="5" hidden="1">{#N/A,#N/A,FALSE,"전력간선"}</definedName>
    <definedName name="설계설명서4" localSheetId="8" hidden="1">{#N/A,#N/A,FALSE,"전력간선"}</definedName>
    <definedName name="설계설명서4" localSheetId="7" hidden="1">{#N/A,#N/A,FALSE,"전력간선"}</definedName>
    <definedName name="설계설명서4" localSheetId="6" hidden="1">{#N/A,#N/A,FALSE,"전력간선"}</definedName>
    <definedName name="설계설명서4" hidden="1">{#N/A,#N/A,FALSE,"전력간선"}</definedName>
    <definedName name="수" localSheetId="5" hidden="1">#REF!</definedName>
    <definedName name="수" localSheetId="8" hidden="1">#REF!</definedName>
    <definedName name="수" localSheetId="7" hidden="1">#REF!</definedName>
    <definedName name="수" localSheetId="6" hidden="1">#REF!</definedName>
    <definedName name="수" hidden="1">#REF!</definedName>
    <definedName name="승인보고21차" localSheetId="5" hidden="1">{#N/A,#N/A,FALSE,"기안지";#N/A,#N/A,FALSE,"통신지"}</definedName>
    <definedName name="승인보고21차" localSheetId="8" hidden="1">{#N/A,#N/A,FALSE,"기안지";#N/A,#N/A,FALSE,"통신지"}</definedName>
    <definedName name="승인보고21차" localSheetId="7" hidden="1">{#N/A,#N/A,FALSE,"기안지";#N/A,#N/A,FALSE,"통신지"}</definedName>
    <definedName name="승인보고21차" localSheetId="6" hidden="1">{#N/A,#N/A,FALSE,"기안지";#N/A,#N/A,FALSE,"통신지"}</definedName>
    <definedName name="승인보고21차" hidden="1">{#N/A,#N/A,FALSE,"기안지";#N/A,#N/A,FALSE,"통신지"}</definedName>
    <definedName name="ㅇㄴㅇㄴㅇㄴㅇㄴ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ㄴㅇㄴㅇㄴㅇㄴ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ㄴㅇㄴㅇㄴㅇㄴ" localSheetId="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ㄴㅇㄴㅇㄴㅇㄴ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ㄴㅇㄴㅇㄴㅇ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ㄹㄹ" localSheetId="5" hidden="1">#REF!</definedName>
    <definedName name="ㅇㄹㄹ" localSheetId="8" hidden="1">#REF!</definedName>
    <definedName name="ㅇㄹㄹ" localSheetId="7" hidden="1">#REF!</definedName>
    <definedName name="ㅇㄹㄹ" localSheetId="6" hidden="1">#REF!</definedName>
    <definedName name="ㅇㄹㄹ" hidden="1">#REF!</definedName>
    <definedName name="ㅇㅇㅇㅇㅇ" localSheetId="5" hidden="1">{"'총괄'!$A$1"}</definedName>
    <definedName name="ㅇㅇㅇㅇㅇ" localSheetId="8" hidden="1">{"'총괄'!$A$1"}</definedName>
    <definedName name="ㅇㅇㅇㅇㅇ" localSheetId="7" hidden="1">{"'총괄'!$A$1"}</definedName>
    <definedName name="ㅇㅇㅇㅇㅇ" localSheetId="6" hidden="1">{"'총괄'!$A$1"}</definedName>
    <definedName name="ㅇㅇㅇㅇㅇ" hidden="1">{"'총괄'!$A$1"}</definedName>
    <definedName name="아" localSheetId="5" hidden="1">#REF!</definedName>
    <definedName name="아" localSheetId="8" hidden="1">#REF!</definedName>
    <definedName name="아" localSheetId="7" hidden="1">#REF!</definedName>
    <definedName name="아" localSheetId="6" hidden="1">#REF!</definedName>
    <definedName name="아" hidden="1">#REF!</definedName>
    <definedName name="악취전기" localSheetId="5" hidden="1">{#N/A,#N/A,FALSE,"기안지";#N/A,#N/A,FALSE,"통신지"}</definedName>
    <definedName name="악취전기" localSheetId="8" hidden="1">{#N/A,#N/A,FALSE,"기안지";#N/A,#N/A,FALSE,"통신지"}</definedName>
    <definedName name="악취전기" localSheetId="7" hidden="1">{#N/A,#N/A,FALSE,"기안지";#N/A,#N/A,FALSE,"통신지"}</definedName>
    <definedName name="악취전기" localSheetId="6" hidden="1">{#N/A,#N/A,FALSE,"기안지";#N/A,#N/A,FALSE,"통신지"}</definedName>
    <definedName name="악취전기" hidden="1">{#N/A,#N/A,FALSE,"기안지";#N/A,#N/A,FALSE,"통신지"}</definedName>
    <definedName name="어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" localSheetId="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어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어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어" localSheetId="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어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오진" localSheetId="5" hidden="1">#REF!</definedName>
    <definedName name="오진" localSheetId="8" hidden="1">#REF!</definedName>
    <definedName name="오진" localSheetId="7" hidden="1">#REF!</definedName>
    <definedName name="오진" localSheetId="6" hidden="1">#REF!</definedName>
    <definedName name="오진" hidden="1">#REF!</definedName>
    <definedName name="오진이" localSheetId="8" hidden="1">#REF!</definedName>
    <definedName name="오진이" hidden="1">#REF!</definedName>
    <definedName name="옥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옥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옥" localSheetId="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옥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운반량집계표" localSheetId="5" hidden="1">{#N/A,#N/A,FALSE,"전력간선"}</definedName>
    <definedName name="운반량집계표" localSheetId="8" hidden="1">{#N/A,#N/A,FALSE,"전력간선"}</definedName>
    <definedName name="운반량집계표" localSheetId="7" hidden="1">{#N/A,#N/A,FALSE,"전력간선"}</definedName>
    <definedName name="운반량집계표" localSheetId="6" hidden="1">{#N/A,#N/A,FALSE,"전력간선"}</definedName>
    <definedName name="운반량집계표" hidden="1">{#N/A,#N/A,FALSE,"전력간선"}</definedName>
    <definedName name="운반집계" localSheetId="5" hidden="1">{#N/A,#N/A,FALSE,"전력간선"}</definedName>
    <definedName name="운반집계" localSheetId="8" hidden="1">{#N/A,#N/A,FALSE,"전력간선"}</definedName>
    <definedName name="운반집계" localSheetId="7" hidden="1">{#N/A,#N/A,FALSE,"전력간선"}</definedName>
    <definedName name="운반집계" localSheetId="6" hidden="1">{#N/A,#N/A,FALSE,"전력간선"}</definedName>
    <definedName name="운반집계" hidden="1">{#N/A,#N/A,FALSE,"전력간선"}</definedName>
    <definedName name="운반집계표" localSheetId="5" hidden="1">{#N/A,#N/A,FALSE,"전력간선"}</definedName>
    <definedName name="운반집계표" localSheetId="8" hidden="1">{#N/A,#N/A,FALSE,"전력간선"}</definedName>
    <definedName name="운반집계표" localSheetId="7" hidden="1">{#N/A,#N/A,FALSE,"전력간선"}</definedName>
    <definedName name="운반집계표" localSheetId="6" hidden="1">{#N/A,#N/A,FALSE,"전력간선"}</definedName>
    <definedName name="운반집계표" hidden="1">{#N/A,#N/A,FALSE,"전력간선"}</definedName>
    <definedName name="인천지검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localSheetId="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임시" localSheetId="5" hidden="1">{#N/A,#N/A,FALSE,"현장 NCR 분석";#N/A,#N/A,FALSE,"현장품질감사";#N/A,#N/A,FALSE,"현장품질감사"}</definedName>
    <definedName name="임시" localSheetId="8" hidden="1">{#N/A,#N/A,FALSE,"현장 NCR 분석";#N/A,#N/A,FALSE,"현장품질감사";#N/A,#N/A,FALSE,"현장품질감사"}</definedName>
    <definedName name="임시" localSheetId="7" hidden="1">{#N/A,#N/A,FALSE,"현장 NCR 분석";#N/A,#N/A,FALSE,"현장품질감사";#N/A,#N/A,FALSE,"현장품질감사"}</definedName>
    <definedName name="임시" localSheetId="6" hidden="1">{#N/A,#N/A,FALSE,"현장 NCR 분석";#N/A,#N/A,FALSE,"현장품질감사";#N/A,#N/A,FALSE,"현장품질감사"}</definedName>
    <definedName name="임시" hidden="1">{#N/A,#N/A,FALSE,"현장 NCR 분석";#N/A,#N/A,FALSE,"현장품질감사";#N/A,#N/A,FALSE,"현장품질감사"}</definedName>
    <definedName name="임시아님" localSheetId="5" hidden="1">{#N/A,#N/A,FALSE,"현장 NCR 분석";#N/A,#N/A,FALSE,"현장품질감사";#N/A,#N/A,FALSE,"현장품질감사"}</definedName>
    <definedName name="임시아님" localSheetId="8" hidden="1">{#N/A,#N/A,FALSE,"현장 NCR 분석";#N/A,#N/A,FALSE,"현장품질감사";#N/A,#N/A,FALSE,"현장품질감사"}</definedName>
    <definedName name="임시아님" localSheetId="7" hidden="1">{#N/A,#N/A,FALSE,"현장 NCR 분석";#N/A,#N/A,FALSE,"현장품질감사";#N/A,#N/A,FALSE,"현장품질감사"}</definedName>
    <definedName name="임시아님" localSheetId="6" hidden="1">{#N/A,#N/A,FALSE,"현장 NCR 분석";#N/A,#N/A,FALSE,"현장품질감사";#N/A,#N/A,FALSE,"현장품질감사"}</definedName>
    <definedName name="임시아님" hidden="1">{#N/A,#N/A,FALSE,"현장 NCR 분석";#N/A,#N/A,FALSE,"현장품질감사";#N/A,#N/A,FALSE,"현장품질감사"}</definedName>
    <definedName name="임직원특판" localSheetId="5" hidden="1">{#N/A,#N/A,TRUE,"NRE";#N/A,#N/A,TRUE,"Tooling";#N/A,#N/A,TRUE,"Sample";#N/A,#N/A,TRUE,"Fixtures";#N/A,#N/A,TRUE,"Agency";#N/A,#N/A,TRUE,"Personnel"}</definedName>
    <definedName name="임직원특판" localSheetId="8" hidden="1">{#N/A,#N/A,TRUE,"NRE";#N/A,#N/A,TRUE,"Tooling";#N/A,#N/A,TRUE,"Sample";#N/A,#N/A,TRUE,"Fixtures";#N/A,#N/A,TRUE,"Agency";#N/A,#N/A,TRUE,"Personnel"}</definedName>
    <definedName name="임직원특판" localSheetId="7" hidden="1">{#N/A,#N/A,TRUE,"NRE";#N/A,#N/A,TRUE,"Tooling";#N/A,#N/A,TRUE,"Sample";#N/A,#N/A,TRUE,"Fixtures";#N/A,#N/A,TRUE,"Agency";#N/A,#N/A,TRUE,"Personnel"}</definedName>
    <definedName name="임직원특판" localSheetId="6" hidden="1">{#N/A,#N/A,TRUE,"NRE";#N/A,#N/A,TRUE,"Tooling";#N/A,#N/A,TRUE,"Sample";#N/A,#N/A,TRUE,"Fixtures";#N/A,#N/A,TRUE,"Agency";#N/A,#N/A,TRUE,"Personnel"}</definedName>
    <definedName name="임직원특판" hidden="1">{#N/A,#N/A,TRUE,"NRE";#N/A,#N/A,TRUE,"Tooling";#N/A,#N/A,TRUE,"Sample";#N/A,#N/A,TRUE,"Fixtures";#N/A,#N/A,TRUE,"Agency";#N/A,#N/A,TRUE,"Personnel"}</definedName>
    <definedName name="ㅈ2ㅛ4ㅗ3ㄷㄱㅁㅎ" localSheetId="5" hidden="1">{#N/A,#N/A,FALSE,"현장 NCR 분석";#N/A,#N/A,FALSE,"현장품질감사";#N/A,#N/A,FALSE,"현장품질감사"}</definedName>
    <definedName name="ㅈ2ㅛ4ㅗ3ㄷㄱㅁㅎ" localSheetId="8" hidden="1">{#N/A,#N/A,FALSE,"현장 NCR 분석";#N/A,#N/A,FALSE,"현장품질감사";#N/A,#N/A,FALSE,"현장품질감사"}</definedName>
    <definedName name="ㅈ2ㅛ4ㅗ3ㄷㄱㅁㅎ" localSheetId="7" hidden="1">{#N/A,#N/A,FALSE,"현장 NCR 분석";#N/A,#N/A,FALSE,"현장품질감사";#N/A,#N/A,FALSE,"현장품질감사"}</definedName>
    <definedName name="ㅈ2ㅛ4ㅗ3ㄷㄱㅁㅎ" localSheetId="6" hidden="1">{#N/A,#N/A,FALSE,"현장 NCR 분석";#N/A,#N/A,FALSE,"현장품질감사";#N/A,#N/A,FALSE,"현장품질감사"}</definedName>
    <definedName name="ㅈ2ㅛ4ㅗ3ㄷㄱㅁㅎ" hidden="1">{#N/A,#N/A,FALSE,"현장 NCR 분석";#N/A,#N/A,FALSE,"현장품질감사";#N/A,#N/A,FALSE,"현장품질감사"}</definedName>
    <definedName name="ㅈㄷㄱ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ㅈㄷㄱ" localSheetId="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ㅈㄷㄱ" localSheetId="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ㅈㄷㄱ" localSheetId="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ㅈㄷㄱ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ㅈㄷㄳㅎㄷㄱㄷㄱㅎ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ㄷㄳㅎㄷㄱㄷㄱㅎ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ㄷㄳㅎㄷㄱㄷㄱㅎ" localSheetId="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ㄷㄳㅎㄷㄱㄷㄱㅎ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ㄷㄳㅎㄷㄱㄷㄱ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ㄷㅂ" localSheetId="5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ㅈㄷㅂ" localSheetId="8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ㅈㄷㅂ" localSheetId="7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ㅈㄷㅂ" localSheetId="6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ㅈㄷㅂ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ㅈㄷㅅ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ㄷㅅ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ㄷㅅ" localSheetId="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ㄷㅅ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ㄷ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ㅅㄷㅁㄴㄱㅎㄷㅁ굫ㅂㄷㄳㅎㅈㄷㅅㅎㅈㄷㅈㄷ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ㅅㄷㅁㄴㄱㅎㄷㅁ굫ㅂㄷㄳㅎㅈㄷㅅㅎㅈㄷㅈㄷ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ㅅㄷㅁㄴㄱㅎㄷㅁ굫ㅂㄷㄳㅎㅈㄷㅅㅎㅈㄷㅈㄷ" localSheetId="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ㅅㄷㅁㄴㄱㅎㄷㅁ굫ㅂㄷㄳㅎㅈㄷㅅㅎㅈㄷㅈㄷ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ㅅㄷㅁㄴㄱㅎㄷㅁ굫ㅂㄷㄳㅎㅈㄷㅅㅎㅈㄷㅈ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ㅈㅈㅈ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ㅈㅈㅈ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ㅈㅈㅈ" localSheetId="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ㅈㅈㅈ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ㅈㅈ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자재청구4월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자재청구4월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자재청구4월" localSheetId="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자재청구4월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자재청구4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자재청구6월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자재청구6월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자재청구6월" localSheetId="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자재청구6월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자재청구6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장비승인요청1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장비승인요청1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장비승인요청1" localSheetId="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장비승인요청1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장비승인요청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재료비1209" localSheetId="5" hidden="1">{#N/A,#N/A,TRUE,"NRE";#N/A,#N/A,TRUE,"Tooling";#N/A,#N/A,TRUE,"Sample";#N/A,#N/A,TRUE,"Fixtures";#N/A,#N/A,TRUE,"Agency";#N/A,#N/A,TRUE,"Personnel"}</definedName>
    <definedName name="재료비1209" localSheetId="8" hidden="1">{#N/A,#N/A,TRUE,"NRE";#N/A,#N/A,TRUE,"Tooling";#N/A,#N/A,TRUE,"Sample";#N/A,#N/A,TRUE,"Fixtures";#N/A,#N/A,TRUE,"Agency";#N/A,#N/A,TRUE,"Personnel"}</definedName>
    <definedName name="재료비1209" localSheetId="7" hidden="1">{#N/A,#N/A,TRUE,"NRE";#N/A,#N/A,TRUE,"Tooling";#N/A,#N/A,TRUE,"Sample";#N/A,#N/A,TRUE,"Fixtures";#N/A,#N/A,TRUE,"Agency";#N/A,#N/A,TRUE,"Personnel"}</definedName>
    <definedName name="재료비1209" localSheetId="6" hidden="1">{#N/A,#N/A,TRUE,"NRE";#N/A,#N/A,TRUE,"Tooling";#N/A,#N/A,TRUE,"Sample";#N/A,#N/A,TRUE,"Fixtures";#N/A,#N/A,TRUE,"Agency";#N/A,#N/A,TRUE,"Personnel"}</definedName>
    <definedName name="재료비1209" hidden="1">{#N/A,#N/A,TRUE,"NRE";#N/A,#N/A,TRUE,"Tooling";#N/A,#N/A,TRUE,"Sample";#N/A,#N/A,TRUE,"Fixtures";#N/A,#N/A,TRUE,"Agency";#N/A,#N/A,TRUE,"Personnel"}</definedName>
    <definedName name="저압갑지" localSheetId="5" hidden="1">#REF!</definedName>
    <definedName name="저압갑지" localSheetId="8" hidden="1">#REF!</definedName>
    <definedName name="저압갑지" localSheetId="7" hidden="1">#REF!</definedName>
    <definedName name="저압갑지" localSheetId="6" hidden="1">#REF!</definedName>
    <definedName name="저압갑지" hidden="1">#REF!</definedName>
    <definedName name="전철" hidden="1">0</definedName>
    <definedName name="제출2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출2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출2" localSheetId="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출2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출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조정1" localSheetId="5" hidden="1">#REF!</definedName>
    <definedName name="조정1" localSheetId="8" hidden="1">#REF!</definedName>
    <definedName name="조정1" localSheetId="7" hidden="1">#REF!</definedName>
    <definedName name="조정1" localSheetId="6" hidden="1">#REF!</definedName>
    <definedName name="조정1" hidden="1">#REF!</definedName>
    <definedName name="종합청사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localSheetId="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직매54P" localSheetId="5" hidden="1">{#N/A,#N/A,TRUE,"토적및재료집계";#N/A,#N/A,TRUE,"토적및재료집계";#N/A,#N/A,TRUE,"단위량"}</definedName>
    <definedName name="직매54P" localSheetId="8" hidden="1">{#N/A,#N/A,TRUE,"토적및재료집계";#N/A,#N/A,TRUE,"토적및재료집계";#N/A,#N/A,TRUE,"단위량"}</definedName>
    <definedName name="직매54P" localSheetId="7" hidden="1">{#N/A,#N/A,TRUE,"토적및재료집계";#N/A,#N/A,TRUE,"토적및재료집계";#N/A,#N/A,TRUE,"단위량"}</definedName>
    <definedName name="직매54P" localSheetId="6" hidden="1">{#N/A,#N/A,TRUE,"토적및재료집계";#N/A,#N/A,TRUE,"토적및재료집계";#N/A,#N/A,TRUE,"단위량"}</definedName>
    <definedName name="직매54P" hidden="1">{#N/A,#N/A,TRUE,"토적및재료집계";#N/A,#N/A,TRUE,"토적및재료집계";#N/A,#N/A,TRUE,"단위량"}</definedName>
    <definedName name="진용" localSheetId="5" hidden="1">{#N/A,#N/A,FALSE,"전력간선"}</definedName>
    <definedName name="진용" localSheetId="8" hidden="1">{#N/A,#N/A,FALSE,"전력간선"}</definedName>
    <definedName name="진용" localSheetId="7" hidden="1">{#N/A,#N/A,FALSE,"전력간선"}</definedName>
    <definedName name="진용" localSheetId="6" hidden="1">{#N/A,#N/A,FALSE,"전력간선"}</definedName>
    <definedName name="진용" hidden="1">{#N/A,#N/A,FALSE,"전력간선"}</definedName>
    <definedName name="참가신청서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참가신청서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참가신청서" localSheetId="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참가신청서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참가신청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창고형태">[14]사양입력!$D$4</definedName>
    <definedName name="충돌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충돌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충돌" localSheetId="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충돌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충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파" localSheetId="8" hidden="1">[5]DRUM!#REF!</definedName>
    <definedName name="파" hidden="1">[5]DRUM!#REF!</definedName>
    <definedName name="파렛트" localSheetId="5" hidden="1">#REF!</definedName>
    <definedName name="파렛트" localSheetId="8" hidden="1">#REF!</definedName>
    <definedName name="파렛트" localSheetId="7" hidden="1">#REF!</definedName>
    <definedName name="파렛트" localSheetId="6" hidden="1">#REF!</definedName>
    <definedName name="파렛트" hidden="1">#REF!</definedName>
    <definedName name="파일" localSheetId="8" hidden="1">#REF!</definedName>
    <definedName name="파일" hidden="1">#REF!</definedName>
    <definedName name="펫" localSheetId="8" hidden="1">#REF!</definedName>
    <definedName name="펫" hidden="1">#REF!</definedName>
    <definedName name="폐기물수량산출서" localSheetId="8" hidden="1">#REF!</definedName>
    <definedName name="폐기물수량산출서" hidden="1">#REF!</definedName>
    <definedName name="표지1" localSheetId="5" hidden="1">'[16]6동'!#REF!</definedName>
    <definedName name="표지1" localSheetId="8" hidden="1">'[16]6동'!#REF!</definedName>
    <definedName name="표지1" localSheetId="7" hidden="1">'[16]6동'!#REF!</definedName>
    <definedName name="표지1" localSheetId="6" hidden="1">'[16]6동'!#REF!</definedName>
    <definedName name="표지1" hidden="1">'[16]6동'!#REF!</definedName>
    <definedName name="ㅎㄻ" localSheetId="5" hidden="1">#REF!</definedName>
    <definedName name="ㅎㄻ" localSheetId="8" hidden="1">#REF!</definedName>
    <definedName name="ㅎㄻ" localSheetId="7" hidden="1">#REF!</definedName>
    <definedName name="ㅎㄻ" localSheetId="6" hidden="1">#REF!</definedName>
    <definedName name="ㅎㄻ" hidden="1">#REF!</definedName>
    <definedName name="하도사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localSheetId="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물폭_Foking방향">[14]사양입력!$C$14</definedName>
    <definedName name="하수도2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localSheetId="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解_任_">[13]기안!$A$34</definedName>
    <definedName name="홍국이" localSheetId="5" hidden="1">#REF!</definedName>
    <definedName name="홍국이" localSheetId="8" hidden="1">#REF!</definedName>
    <definedName name="홍국이" localSheetId="7" hidden="1">#REF!</definedName>
    <definedName name="홍국이" localSheetId="6" hidden="1">#REF!</definedName>
    <definedName name="홍국이" hidden="1">#REF!</definedName>
    <definedName name="ㅏㅓ아아" localSheetId="5" hidden="1">{#N/A,#N/A,FALSE,"현장 NCR 분석";#N/A,#N/A,FALSE,"현장품질감사";#N/A,#N/A,FALSE,"현장품질감사"}</definedName>
    <definedName name="ㅏㅓ아아" localSheetId="8" hidden="1">{#N/A,#N/A,FALSE,"현장 NCR 분석";#N/A,#N/A,FALSE,"현장품질감사";#N/A,#N/A,FALSE,"현장품질감사"}</definedName>
    <definedName name="ㅏㅓ아아" localSheetId="7" hidden="1">{#N/A,#N/A,FALSE,"현장 NCR 분석";#N/A,#N/A,FALSE,"현장품질감사";#N/A,#N/A,FALSE,"현장품질감사"}</definedName>
    <definedName name="ㅏㅓ아아" localSheetId="6" hidden="1">{#N/A,#N/A,FALSE,"현장 NCR 분석";#N/A,#N/A,FALSE,"현장품질감사";#N/A,#N/A,FALSE,"현장품질감사"}</definedName>
    <definedName name="ㅏㅓ아아" hidden="1">{#N/A,#N/A,FALSE,"현장 NCR 분석";#N/A,#N/A,FALSE,"현장품질감사";#N/A,#N/A,FALSE,"현장품질감사"}</definedName>
    <definedName name="ㅐㅐㅐ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ㅐㅐ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ㅐㅐ" localSheetId="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ㅐㅐ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ㅐ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ㅑㅛㅅ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ㅑㅛㅅ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ㅑㅛㅅ" localSheetId="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ㅑㅛㅅ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ㅑㅛ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겨겨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겨겨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겨겨" localSheetId="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겨겨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겨겨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ㅗㅗ" localSheetId="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ㅗㅗ" localSheetId="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ㅗㅗ" localSheetId="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ㅗㅗ" localSheetId="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ㅗ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ㅠ" localSheetId="5" hidden="1">{#N/A,#N/A,TRUE,"NRE";#N/A,#N/A,TRUE,"Tooling";#N/A,#N/A,TRUE,"Sample";#N/A,#N/A,TRUE,"Fixtures";#N/A,#N/A,TRUE,"Agency";#N/A,#N/A,TRUE,"Personnel"}</definedName>
    <definedName name="ㅠ" localSheetId="8" hidden="1">{#N/A,#N/A,TRUE,"NRE";#N/A,#N/A,TRUE,"Tooling";#N/A,#N/A,TRUE,"Sample";#N/A,#N/A,TRUE,"Fixtures";#N/A,#N/A,TRUE,"Agency";#N/A,#N/A,TRUE,"Personnel"}</definedName>
    <definedName name="ㅠ" localSheetId="7" hidden="1">{#N/A,#N/A,TRUE,"NRE";#N/A,#N/A,TRUE,"Tooling";#N/A,#N/A,TRUE,"Sample";#N/A,#N/A,TRUE,"Fixtures";#N/A,#N/A,TRUE,"Agency";#N/A,#N/A,TRUE,"Personnel"}</definedName>
    <definedName name="ㅠ" localSheetId="6" hidden="1">{#N/A,#N/A,TRUE,"NRE";#N/A,#N/A,TRUE,"Tooling";#N/A,#N/A,TRUE,"Sample";#N/A,#N/A,TRUE,"Fixtures";#N/A,#N/A,TRUE,"Agency";#N/A,#N/A,TRUE,"Personnel"}</definedName>
    <definedName name="ㅠ" hidden="1">{#N/A,#N/A,TRUE,"NRE";#N/A,#N/A,TRUE,"Tooling";#N/A,#N/A,TRUE,"Sample";#N/A,#N/A,TRUE,"Fixtures";#N/A,#N/A,TRUE,"Agency";#N/A,#N/A,TRUE,"Personnel"}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4" i="38" l="1"/>
  <c r="R13" i="38"/>
  <c r="R12" i="38"/>
  <c r="R11" i="38"/>
  <c r="R15" i="37"/>
  <c r="R14" i="37"/>
  <c r="R13" i="37"/>
  <c r="R12" i="37"/>
  <c r="R14" i="36"/>
  <c r="R13" i="36"/>
  <c r="R11" i="37"/>
  <c r="R12" i="36"/>
  <c r="R10" i="35"/>
  <c r="R10" i="36"/>
  <c r="R10" i="37"/>
  <c r="R10" i="38"/>
  <c r="R8" i="38"/>
  <c r="R8" i="37"/>
  <c r="R8" i="36"/>
  <c r="R8" i="35"/>
  <c r="M13" i="108"/>
  <c r="K12" i="108"/>
  <c r="K11" i="108"/>
  <c r="K10" i="108"/>
  <c r="K9" i="108"/>
  <c r="Q8" i="108"/>
  <c r="S8" i="108" s="1"/>
  <c r="K8" i="108"/>
  <c r="O8" i="108" s="1"/>
  <c r="Q7" i="108"/>
  <c r="S7" i="108" s="1"/>
  <c r="K7" i="108"/>
  <c r="O7" i="108" s="1"/>
  <c r="Q6" i="108"/>
  <c r="S6" i="108" s="1"/>
  <c r="K6" i="108"/>
  <c r="O6" i="108" s="1"/>
  <c r="Q5" i="108"/>
  <c r="S5" i="108" s="1"/>
  <c r="K5" i="108"/>
  <c r="O5" i="108" s="1"/>
  <c r="X15" i="107"/>
  <c r="Z15" i="107" s="1"/>
  <c r="X14" i="107"/>
  <c r="Z14" i="107" s="1"/>
  <c r="Z16" i="107" s="1"/>
  <c r="F12" i="107"/>
  <c r="L12" i="107" s="1"/>
  <c r="P12" i="107" s="1"/>
  <c r="R12" i="107" s="1"/>
  <c r="N11" i="107"/>
  <c r="N12" i="107" s="1"/>
  <c r="F11" i="107"/>
  <c r="L11" i="107" s="1"/>
  <c r="P11" i="107" s="1"/>
  <c r="R11" i="107" s="1"/>
  <c r="N10" i="107"/>
  <c r="N14" i="107" s="1"/>
  <c r="R14" i="107" s="1"/>
  <c r="D10" i="107"/>
  <c r="L10" i="107" s="1"/>
  <c r="P10" i="107" s="1"/>
  <c r="R10" i="107" s="1"/>
  <c r="J9" i="107"/>
  <c r="N8" i="107"/>
  <c r="N9" i="107" s="1"/>
  <c r="F8" i="107"/>
  <c r="D8" i="107"/>
  <c r="N7" i="107"/>
  <c r="H7" i="107"/>
  <c r="L7" i="107" s="1"/>
  <c r="P7" i="107" s="1"/>
  <c r="X15" i="106"/>
  <c r="Z15" i="106" s="1"/>
  <c r="X14" i="106"/>
  <c r="Z14" i="106" s="1"/>
  <c r="Z16" i="106" s="1"/>
  <c r="F12" i="106"/>
  <c r="L12" i="106" s="1"/>
  <c r="N11" i="106"/>
  <c r="N12" i="106" s="1"/>
  <c r="F11" i="106"/>
  <c r="L11" i="106" s="1"/>
  <c r="P11" i="106" s="1"/>
  <c r="R11" i="106" s="1"/>
  <c r="N10" i="106"/>
  <c r="N14" i="106" s="1"/>
  <c r="R14" i="106" s="1"/>
  <c r="D10" i="106"/>
  <c r="L10" i="106" s="1"/>
  <c r="P10" i="106" s="1"/>
  <c r="R10" i="106" s="1"/>
  <c r="J9" i="106"/>
  <c r="N8" i="106"/>
  <c r="N9" i="106" s="1"/>
  <c r="F8" i="106"/>
  <c r="D8" i="106"/>
  <c r="N7" i="106"/>
  <c r="H7" i="106"/>
  <c r="L7" i="106" s="1"/>
  <c r="P7" i="106" s="1"/>
  <c r="X15" i="105"/>
  <c r="Z15" i="105" s="1"/>
  <c r="Z14" i="105"/>
  <c r="Z16" i="105" s="1"/>
  <c r="X14" i="105"/>
  <c r="F12" i="105"/>
  <c r="L12" i="105" s="1"/>
  <c r="N11" i="105"/>
  <c r="N12" i="105" s="1"/>
  <c r="F11" i="105"/>
  <c r="L11" i="105" s="1"/>
  <c r="P11" i="105" s="1"/>
  <c r="R11" i="105" s="1"/>
  <c r="N10" i="105"/>
  <c r="N14" i="105" s="1"/>
  <c r="R14" i="105" s="1"/>
  <c r="D10" i="105"/>
  <c r="L10" i="105" s="1"/>
  <c r="P10" i="105" s="1"/>
  <c r="R10" i="105" s="1"/>
  <c r="J9" i="105"/>
  <c r="N8" i="105"/>
  <c r="N9" i="105" s="1"/>
  <c r="F8" i="105"/>
  <c r="D8" i="105"/>
  <c r="N7" i="105"/>
  <c r="H7" i="105"/>
  <c r="L7" i="105" s="1"/>
  <c r="P7" i="105" s="1"/>
  <c r="M16" i="104"/>
  <c r="M17" i="104" s="1"/>
  <c r="Q17" i="104" s="1"/>
  <c r="K16" i="104"/>
  <c r="O16" i="104" s="1"/>
  <c r="Q16" i="104" s="1"/>
  <c r="K15" i="104"/>
  <c r="O15" i="104" s="1"/>
  <c r="Q15" i="104" s="1"/>
  <c r="M13" i="104"/>
  <c r="M14" i="104" s="1"/>
  <c r="Q14" i="104" s="1"/>
  <c r="K13" i="104"/>
  <c r="O13" i="104" s="1"/>
  <c r="Q13" i="104" s="1"/>
  <c r="K12" i="104"/>
  <c r="O12" i="104" s="1"/>
  <c r="Q12" i="104" s="1"/>
  <c r="M10" i="104"/>
  <c r="M11" i="104" s="1"/>
  <c r="Q11" i="104" s="1"/>
  <c r="K10" i="104"/>
  <c r="O10" i="104" s="1"/>
  <c r="Q10" i="104" s="1"/>
  <c r="K9" i="104"/>
  <c r="O9" i="104" s="1"/>
  <c r="Q9" i="104" s="1"/>
  <c r="M8" i="104"/>
  <c r="Q8" i="104" s="1"/>
  <c r="K7" i="104"/>
  <c r="O7" i="104" s="1"/>
  <c r="Q7" i="104" s="1"/>
  <c r="M6" i="104"/>
  <c r="K5" i="104"/>
  <c r="O5" i="104" s="1"/>
  <c r="O12" i="108" l="1"/>
  <c r="Q12" i="108"/>
  <c r="S12" i="108" s="1"/>
  <c r="Q11" i="108"/>
  <c r="S11" i="108" s="1"/>
  <c r="O11" i="108"/>
  <c r="O10" i="108"/>
  <c r="Q10" i="108"/>
  <c r="S10" i="108" s="1"/>
  <c r="Q9" i="108"/>
  <c r="S9" i="108" s="1"/>
  <c r="Q13" i="108" s="1"/>
  <c r="O9" i="108"/>
  <c r="O13" i="108" s="1"/>
  <c r="D9" i="107"/>
  <c r="L9" i="107" s="1"/>
  <c r="P9" i="107" s="1"/>
  <c r="R9" i="107" s="1"/>
  <c r="L8" i="107"/>
  <c r="P8" i="107" s="1"/>
  <c r="N16" i="107"/>
  <c r="N13" i="107"/>
  <c r="R13" i="107" s="1"/>
  <c r="R7" i="107"/>
  <c r="L8" i="106"/>
  <c r="P8" i="106" s="1"/>
  <c r="R8" i="106" s="1"/>
  <c r="D9" i="106"/>
  <c r="L9" i="106" s="1"/>
  <c r="P9" i="106" s="1"/>
  <c r="N16" i="106"/>
  <c r="N13" i="106"/>
  <c r="R13" i="106" s="1"/>
  <c r="R7" i="106"/>
  <c r="D9" i="105"/>
  <c r="L9" i="105" s="1"/>
  <c r="P9" i="105" s="1"/>
  <c r="L8" i="105"/>
  <c r="P8" i="105" s="1"/>
  <c r="R8" i="105" s="1"/>
  <c r="N13" i="105"/>
  <c r="R7" i="105"/>
  <c r="M19" i="104"/>
  <c r="Q6" i="104"/>
  <c r="Q5" i="104"/>
  <c r="O18" i="104"/>
  <c r="P12" i="105"/>
  <c r="P12" i="106"/>
  <c r="R8" i="107" l="1"/>
  <c r="P15" i="107"/>
  <c r="R9" i="106"/>
  <c r="P15" i="106"/>
  <c r="R15" i="106" s="1"/>
  <c r="R9" i="105"/>
  <c r="P15" i="105"/>
  <c r="R15" i="105" s="1"/>
  <c r="R13" i="105"/>
  <c r="N16" i="105"/>
  <c r="Q18" i="104"/>
  <c r="Q19" i="104" s="1"/>
  <c r="O19" i="104"/>
  <c r="R12" i="105"/>
  <c r="R16" i="105" s="1"/>
  <c r="P16" i="105"/>
  <c r="R12" i="106"/>
  <c r="R16" i="106" s="1"/>
  <c r="P16" i="106"/>
  <c r="P16" i="107" l="1"/>
  <c r="R15" i="107"/>
  <c r="R16" i="107" s="1"/>
  <c r="R9" i="38"/>
  <c r="H11" i="35" l="1"/>
  <c r="X22" i="38" l="1"/>
  <c r="Z22" i="38" s="1"/>
  <c r="X21" i="38"/>
  <c r="Z21" i="38" s="1"/>
  <c r="Z23" i="38" s="1"/>
  <c r="L16" i="38"/>
  <c r="L15" i="38"/>
  <c r="F14" i="38"/>
  <c r="B14" i="38"/>
  <c r="J14" i="38" s="1"/>
  <c r="J13" i="38"/>
  <c r="F13" i="38"/>
  <c r="D11" i="38"/>
  <c r="D12" i="38" s="1"/>
  <c r="L12" i="38" s="1"/>
  <c r="L10" i="38"/>
  <c r="N9" i="38"/>
  <c r="N10" i="38" s="1"/>
  <c r="D9" i="38"/>
  <c r="F11" i="38" s="1"/>
  <c r="L8" i="38"/>
  <c r="N7" i="38"/>
  <c r="N8" i="38" s="1"/>
  <c r="H7" i="38"/>
  <c r="L7" i="38" s="1"/>
  <c r="P7" i="38" s="1"/>
  <c r="R7" i="38" s="1"/>
  <c r="X6" i="38"/>
  <c r="X8" i="38" s="1"/>
  <c r="X7" i="38" s="1"/>
  <c r="X4" i="38"/>
  <c r="X22" i="37"/>
  <c r="Z22" i="37" s="1"/>
  <c r="X21" i="37"/>
  <c r="Z21" i="37" s="1"/>
  <c r="L17" i="37"/>
  <c r="L16" i="37"/>
  <c r="F15" i="37"/>
  <c r="B15" i="37"/>
  <c r="J15" i="37" s="1"/>
  <c r="J14" i="37"/>
  <c r="F14" i="37"/>
  <c r="D12" i="37"/>
  <c r="D13" i="37" s="1"/>
  <c r="L13" i="37" s="1"/>
  <c r="L10" i="37"/>
  <c r="N9" i="37"/>
  <c r="N11" i="37" s="1"/>
  <c r="D9" i="37"/>
  <c r="D11" i="37" s="1"/>
  <c r="L11" i="37" s="1"/>
  <c r="L8" i="37"/>
  <c r="N7" i="37"/>
  <c r="H7" i="37"/>
  <c r="L7" i="37" s="1"/>
  <c r="P7" i="37" s="1"/>
  <c r="R7" i="37" s="1"/>
  <c r="X6" i="37"/>
  <c r="X8" i="37" s="1"/>
  <c r="X7" i="37" s="1"/>
  <c r="X4" i="37"/>
  <c r="X21" i="36"/>
  <c r="Z21" i="36" s="1"/>
  <c r="X20" i="36"/>
  <c r="Z20" i="36" s="1"/>
  <c r="L16" i="36"/>
  <c r="L15" i="36"/>
  <c r="F14" i="36"/>
  <c r="B14" i="36"/>
  <c r="J14" i="36" s="1"/>
  <c r="L14" i="36" s="1"/>
  <c r="J13" i="36"/>
  <c r="F13" i="36"/>
  <c r="F12" i="36"/>
  <c r="L12" i="36" s="1"/>
  <c r="N11" i="36"/>
  <c r="N12" i="36" s="1"/>
  <c r="H11" i="36"/>
  <c r="L11" i="36" s="1"/>
  <c r="L10" i="36"/>
  <c r="N9" i="36"/>
  <c r="N10" i="36" s="1"/>
  <c r="D9" i="36"/>
  <c r="L9" i="36" s="1"/>
  <c r="P9" i="36" s="1"/>
  <c r="R9" i="36" s="1"/>
  <c r="L8" i="36"/>
  <c r="N7" i="36"/>
  <c r="N8" i="36" s="1"/>
  <c r="H7" i="36"/>
  <c r="L7" i="36" s="1"/>
  <c r="P7" i="36" s="1"/>
  <c r="R7" i="36" s="1"/>
  <c r="X6" i="36"/>
  <c r="X8" i="36" s="1"/>
  <c r="X7" i="36" s="1"/>
  <c r="X4" i="36"/>
  <c r="X21" i="35"/>
  <c r="Z21" i="35" s="1"/>
  <c r="X20" i="35"/>
  <c r="Z20" i="35" s="1"/>
  <c r="L15" i="35"/>
  <c r="L14" i="35"/>
  <c r="F13" i="35"/>
  <c r="B13" i="35"/>
  <c r="J13" i="35" s="1"/>
  <c r="J12" i="35"/>
  <c r="F12" i="35"/>
  <c r="N11" i="35"/>
  <c r="J11" i="35"/>
  <c r="L11" i="35" s="1"/>
  <c r="L10" i="35"/>
  <c r="N9" i="35"/>
  <c r="N16" i="35" s="1"/>
  <c r="R16" i="35" s="1"/>
  <c r="D9" i="35"/>
  <c r="L9" i="35" s="1"/>
  <c r="P9" i="35" s="1"/>
  <c r="R9" i="35" s="1"/>
  <c r="L8" i="35"/>
  <c r="N7" i="35"/>
  <c r="N8" i="35" s="1"/>
  <c r="N17" i="35" s="1"/>
  <c r="R17" i="35" s="1"/>
  <c r="H7" i="35"/>
  <c r="L7" i="35" s="1"/>
  <c r="P7" i="35" s="1"/>
  <c r="R7" i="35" s="1"/>
  <c r="X6" i="35"/>
  <c r="X8" i="35" s="1"/>
  <c r="X7" i="35" s="1"/>
  <c r="X4" i="35"/>
  <c r="L13" i="38" l="1"/>
  <c r="L14" i="38"/>
  <c r="L9" i="38"/>
  <c r="P9" i="38" s="1"/>
  <c r="N17" i="38"/>
  <c r="R17" i="38" s="1"/>
  <c r="L11" i="38"/>
  <c r="L14" i="37"/>
  <c r="N15" i="37"/>
  <c r="L15" i="37"/>
  <c r="P15" i="37" s="1"/>
  <c r="N8" i="37"/>
  <c r="N19" i="37" s="1"/>
  <c r="R19" i="37" s="1"/>
  <c r="N14" i="37"/>
  <c r="N10" i="37"/>
  <c r="P10" i="37" s="1"/>
  <c r="N17" i="37"/>
  <c r="R17" i="37" s="1"/>
  <c r="N18" i="37"/>
  <c r="R18" i="37" s="1"/>
  <c r="N12" i="37"/>
  <c r="N13" i="37" s="1"/>
  <c r="P13" i="37" s="1"/>
  <c r="L13" i="36"/>
  <c r="P11" i="36"/>
  <c r="R11" i="36" s="1"/>
  <c r="Z22" i="36"/>
  <c r="P12" i="36"/>
  <c r="L12" i="35"/>
  <c r="P12" i="35" s="1"/>
  <c r="R12" i="35" s="1"/>
  <c r="N18" i="35"/>
  <c r="R18" i="35" s="1"/>
  <c r="P8" i="35"/>
  <c r="N12" i="35"/>
  <c r="P11" i="35"/>
  <c r="R11" i="35" s="1"/>
  <c r="N10" i="35"/>
  <c r="P10" i="35" s="1"/>
  <c r="L13" i="35"/>
  <c r="N14" i="35"/>
  <c r="R14" i="35" s="1"/>
  <c r="N15" i="35"/>
  <c r="R15" i="35" s="1"/>
  <c r="Z22" i="35"/>
  <c r="N13" i="35"/>
  <c r="Z23" i="37"/>
  <c r="N18" i="38"/>
  <c r="R18" i="38" s="1"/>
  <c r="P8" i="38"/>
  <c r="N20" i="38"/>
  <c r="R20" i="38" s="1"/>
  <c r="N20" i="36"/>
  <c r="R20" i="36" s="1"/>
  <c r="N18" i="36"/>
  <c r="R18" i="36" s="1"/>
  <c r="P8" i="36"/>
  <c r="P10" i="36"/>
  <c r="P11" i="37"/>
  <c r="P10" i="38"/>
  <c r="N20" i="37"/>
  <c r="R20" i="37" s="1"/>
  <c r="N15" i="36"/>
  <c r="R15" i="36" s="1"/>
  <c r="N13" i="36"/>
  <c r="L9" i="37"/>
  <c r="P9" i="37" s="1"/>
  <c r="R9" i="37" s="1"/>
  <c r="N15" i="38"/>
  <c r="R15" i="38" s="1"/>
  <c r="N19" i="35"/>
  <c r="R19" i="35" s="1"/>
  <c r="N21" i="37"/>
  <c r="R21" i="37" s="1"/>
  <c r="N13" i="38"/>
  <c r="P13" i="38" s="1"/>
  <c r="N16" i="36"/>
  <c r="R16" i="36" s="1"/>
  <c r="F12" i="37"/>
  <c r="L12" i="37" s="1"/>
  <c r="P12" i="37" s="1"/>
  <c r="N16" i="37"/>
  <c r="R16" i="37" s="1"/>
  <c r="N11" i="38"/>
  <c r="N12" i="38" s="1"/>
  <c r="P12" i="38" s="1"/>
  <c r="N16" i="38"/>
  <c r="R16" i="38" s="1"/>
  <c r="N17" i="36"/>
  <c r="R17" i="36" s="1"/>
  <c r="N19" i="36"/>
  <c r="R19" i="36" s="1"/>
  <c r="N14" i="38"/>
  <c r="N19" i="38"/>
  <c r="R19" i="38" s="1"/>
  <c r="N14" i="36"/>
  <c r="P14" i="36" s="1"/>
  <c r="P14" i="38" l="1"/>
  <c r="P14" i="37"/>
  <c r="P13" i="36"/>
  <c r="R22" i="36" s="1"/>
  <c r="N21" i="35"/>
  <c r="N22" i="38"/>
  <c r="P8" i="37"/>
  <c r="P13" i="35"/>
  <c r="R13" i="35" s="1"/>
  <c r="P21" i="36"/>
  <c r="R21" i="36" s="1"/>
  <c r="P22" i="37"/>
  <c r="N22" i="36"/>
  <c r="N23" i="37"/>
  <c r="P11" i="38"/>
  <c r="P21" i="38" l="1"/>
  <c r="R21" i="38" s="1"/>
  <c r="R22" i="38" s="1"/>
  <c r="P22" i="36"/>
  <c r="P20" i="35"/>
  <c r="R20" i="35" s="1"/>
  <c r="R22" i="37"/>
  <c r="R23" i="37" s="1"/>
  <c r="P23" i="37"/>
  <c r="P22" i="38" l="1"/>
  <c r="R21" i="35"/>
  <c r="P21" i="35"/>
</calcChain>
</file>

<file path=xl/sharedStrings.xml><?xml version="1.0" encoding="utf-8"?>
<sst xmlns="http://schemas.openxmlformats.org/spreadsheetml/2006/main" count="1306" uniqueCount="158">
  <si>
    <t>품목명</t>
  </si>
  <si>
    <t>W</t>
    <phoneticPr fontId="3" type="noConversion"/>
  </si>
  <si>
    <t>D</t>
    <phoneticPr fontId="3" type="noConversion"/>
  </si>
  <si>
    <t>H</t>
    <phoneticPr fontId="3" type="noConversion"/>
  </si>
  <si>
    <t>선반보강재
투입수량</t>
    <phoneticPr fontId="3" type="noConversion"/>
  </si>
  <si>
    <t>독립형</t>
    <phoneticPr fontId="3" type="noConversion"/>
  </si>
  <si>
    <t>연결형</t>
    <phoneticPr fontId="3" type="noConversion"/>
  </si>
  <si>
    <t>도장색</t>
    <phoneticPr fontId="3" type="noConversion"/>
  </si>
  <si>
    <t>원</t>
    <phoneticPr fontId="3" type="noConversion"/>
  </si>
  <si>
    <t>중량랙</t>
    <phoneticPr fontId="3" type="noConversion"/>
  </si>
  <si>
    <t>mm</t>
    <phoneticPr fontId="3" type="noConversion"/>
  </si>
  <si>
    <t>S</t>
    <phoneticPr fontId="3" type="noConversion"/>
  </si>
  <si>
    <t>ea/단</t>
    <phoneticPr fontId="3" type="noConversion"/>
  </si>
  <si>
    <t>set</t>
    <phoneticPr fontId="3" type="noConversion"/>
  </si>
  <si>
    <t>아이보리</t>
    <phoneticPr fontId="3" type="noConversion"/>
  </si>
  <si>
    <t>* 일반규격 이외의 비규격은 따로 견적을 받으셔야 합니다.</t>
    <phoneticPr fontId="3" type="noConversion"/>
  </si>
  <si>
    <t>NO</t>
    <phoneticPr fontId="3" type="noConversion"/>
  </si>
  <si>
    <t>세부품명</t>
    <phoneticPr fontId="3" type="noConversion"/>
  </si>
  <si>
    <t>SIZE</t>
    <phoneticPr fontId="3" type="noConversion"/>
  </si>
  <si>
    <t>두께</t>
    <phoneticPr fontId="3" type="noConversion"/>
  </si>
  <si>
    <t>자재
소요중량</t>
    <phoneticPr fontId="3" type="noConversion"/>
  </si>
  <si>
    <t>수 량</t>
    <phoneticPr fontId="3" type="noConversion"/>
  </si>
  <si>
    <t>자재 
총소요 중량</t>
    <phoneticPr fontId="3" type="noConversion"/>
  </si>
  <si>
    <t>금 액</t>
    <phoneticPr fontId="3" type="noConversion"/>
  </si>
  <si>
    <t>기둥</t>
    <phoneticPr fontId="3" type="noConversion"/>
  </si>
  <si>
    <t>t</t>
    <phoneticPr fontId="3" type="noConversion"/>
  </si>
  <si>
    <t>kg</t>
    <phoneticPr fontId="3" type="noConversion"/>
  </si>
  <si>
    <t>ea</t>
    <phoneticPr fontId="3" type="noConversion"/>
  </si>
  <si>
    <t>선반</t>
    <phoneticPr fontId="3" type="noConversion"/>
  </si>
  <si>
    <t>선반보강재</t>
    <phoneticPr fontId="3" type="noConversion"/>
  </si>
  <si>
    <t>클립(중)</t>
    <phoneticPr fontId="3" type="noConversion"/>
  </si>
  <si>
    <t>-</t>
    <phoneticPr fontId="3" type="noConversion"/>
  </si>
  <si>
    <t>구분</t>
    <phoneticPr fontId="3" type="noConversion"/>
  </si>
  <si>
    <t>세트수량</t>
    <phoneticPr fontId="3" type="noConversion"/>
  </si>
  <si>
    <t>단가</t>
    <phoneticPr fontId="3" type="noConversion"/>
  </si>
  <si>
    <t>금액</t>
    <phoneticPr fontId="3" type="noConversion"/>
  </si>
  <si>
    <t>안전핀</t>
    <phoneticPr fontId="3" type="noConversion"/>
  </si>
  <si>
    <t>Loss</t>
    <phoneticPr fontId="3" type="noConversion"/>
  </si>
  <si>
    <t>계</t>
    <phoneticPr fontId="3" type="noConversion"/>
  </si>
  <si>
    <t>합 계</t>
    <phoneticPr fontId="3" type="noConversion"/>
  </si>
  <si>
    <t>로드빔 타입</t>
    <phoneticPr fontId="3" type="noConversion"/>
  </si>
  <si>
    <t xml:space="preserve"> - Brace</t>
    <phoneticPr fontId="15" type="noConversion"/>
  </si>
  <si>
    <t>파렛트랙</t>
    <phoneticPr fontId="3" type="noConversion"/>
  </si>
  <si>
    <t>L</t>
    <phoneticPr fontId="3" type="noConversion"/>
  </si>
  <si>
    <t>ea/L</t>
    <phoneticPr fontId="3" type="noConversion"/>
  </si>
  <si>
    <t>bar</t>
    <phoneticPr fontId="3" type="noConversion"/>
  </si>
  <si>
    <t>직재(center)</t>
    <phoneticPr fontId="15" type="noConversion"/>
  </si>
  <si>
    <t>비 고</t>
    <phoneticPr fontId="3" type="noConversion"/>
  </si>
  <si>
    <t>사재(center)</t>
    <phoneticPr fontId="15" type="noConversion"/>
  </si>
  <si>
    <t>간격</t>
    <phoneticPr fontId="3" type="noConversion"/>
  </si>
  <si>
    <t>사재 수량</t>
    <phoneticPr fontId="15" type="noConversion"/>
  </si>
  <si>
    <t>상부</t>
    <phoneticPr fontId="15" type="noConversion"/>
  </si>
  <si>
    <t>아연도 기둥 베이스</t>
    <phoneticPr fontId="3" type="noConversion"/>
  </si>
  <si>
    <t>사재전체길이</t>
    <phoneticPr fontId="15" type="noConversion"/>
  </si>
  <si>
    <t>일반 로드빔</t>
    <phoneticPr fontId="3" type="noConversion"/>
  </si>
  <si>
    <t>하부</t>
    <phoneticPr fontId="15" type="noConversion"/>
  </si>
  <si>
    <t>로드빔 B.K.T</t>
    <phoneticPr fontId="3" type="noConversion"/>
  </si>
  <si>
    <t>부싱</t>
    <phoneticPr fontId="3" type="noConversion"/>
  </si>
  <si>
    <t>o 15*15-46mm</t>
    <phoneticPr fontId="3" type="noConversion"/>
  </si>
  <si>
    <t>라이너</t>
    <phoneticPr fontId="3" type="noConversion"/>
  </si>
  <si>
    <t>볼트,너트</t>
    <phoneticPr fontId="3" type="noConversion"/>
  </si>
  <si>
    <t>3/8"-25L</t>
    <phoneticPr fontId="3" type="noConversion"/>
  </si>
  <si>
    <t>3/8"-65L</t>
    <phoneticPr fontId="3" type="noConversion"/>
  </si>
  <si>
    <t>앙카 볼트</t>
    <phoneticPr fontId="3" type="noConversion"/>
  </si>
  <si>
    <t>1/2"-100(4")</t>
    <phoneticPr fontId="3" type="noConversion"/>
  </si>
  <si>
    <t>%</t>
    <phoneticPr fontId="3" type="noConversion"/>
  </si>
  <si>
    <t>선반형 로드빔</t>
    <phoneticPr fontId="3" type="noConversion"/>
  </si>
  <si>
    <t>ㄱ앵글 25*25*3.0t</t>
    <phoneticPr fontId="3" type="noConversion"/>
  </si>
  <si>
    <t>파렛트랙선반</t>
    <phoneticPr fontId="3" type="noConversion"/>
  </si>
  <si>
    <t>타이빔 B.K.T</t>
    <phoneticPr fontId="3" type="noConversion"/>
  </si>
  <si>
    <t>아연도 ㄷ절곡 홀더</t>
    <phoneticPr fontId="3" type="noConversion"/>
  </si>
  <si>
    <t>홀더용 볼트,너트</t>
    <phoneticPr fontId="3" type="noConversion"/>
  </si>
  <si>
    <t>HR ㄷ절곡 홀더</t>
    <phoneticPr fontId="3" type="noConversion"/>
  </si>
  <si>
    <t>타이빔 C형강 홀더</t>
    <phoneticPr fontId="3" type="noConversion"/>
  </si>
  <si>
    <t>75*30 C형강</t>
    <phoneticPr fontId="3" type="noConversion"/>
  </si>
  <si>
    <t>홀더 B.K.T</t>
    <phoneticPr fontId="3" type="noConversion"/>
  </si>
  <si>
    <t>100*50 C형강 홀더</t>
    <phoneticPr fontId="3" type="noConversion"/>
  </si>
  <si>
    <t>100*50 C형강</t>
    <phoneticPr fontId="3" type="noConversion"/>
  </si>
  <si>
    <t>청색/오렌지</t>
    <phoneticPr fontId="3" type="noConversion"/>
  </si>
  <si>
    <t>규 격</t>
    <phoneticPr fontId="3" type="noConversion"/>
  </si>
  <si>
    <t>단 가</t>
    <phoneticPr fontId="3" type="noConversion"/>
  </si>
  <si>
    <t>길이</t>
    <phoneticPr fontId="3" type="noConversion"/>
  </si>
  <si>
    <t>원/ea</t>
    <phoneticPr fontId="3" type="noConversion"/>
  </si>
  <si>
    <t>물량 太</t>
    <phoneticPr fontId="3" type="noConversion"/>
  </si>
  <si>
    <t>물량 少</t>
    <phoneticPr fontId="3" type="noConversion"/>
  </si>
  <si>
    <t>물량 太 데크</t>
    <phoneticPr fontId="3" type="noConversion"/>
  </si>
  <si>
    <t>물량 少 데크</t>
    <phoneticPr fontId="3" type="noConversion"/>
  </si>
  <si>
    <t>물량 少 타공 데크</t>
    <phoneticPr fontId="3" type="noConversion"/>
  </si>
  <si>
    <t>물량 太 타공 데크</t>
    <phoneticPr fontId="3" type="noConversion"/>
  </si>
  <si>
    <t>75*45 C형강</t>
    <phoneticPr fontId="3" type="noConversion"/>
  </si>
  <si>
    <t>75*45 C형강 홀더</t>
    <phoneticPr fontId="3" type="noConversion"/>
  </si>
  <si>
    <t>ㄷ 데크 마감재</t>
    <phoneticPr fontId="3" type="noConversion"/>
  </si>
  <si>
    <t>비규격 ㄱ데크 마감재</t>
    <phoneticPr fontId="3" type="noConversion"/>
  </si>
  <si>
    <t>규격 ㄱ데크 마감재</t>
    <phoneticPr fontId="3" type="noConversion"/>
  </si>
  <si>
    <t>청색/오랜지</t>
    <phoneticPr fontId="3" type="noConversion"/>
  </si>
  <si>
    <t>선반형 스텝 로드빔</t>
    <phoneticPr fontId="3" type="noConversion"/>
  </si>
  <si>
    <t>85바</t>
  </si>
  <si>
    <t>타이빔</t>
    <phoneticPr fontId="3" type="noConversion"/>
  </si>
  <si>
    <t>직선 브레싱</t>
    <phoneticPr fontId="3" type="noConversion"/>
  </si>
  <si>
    <t>경사 브레싱</t>
    <phoneticPr fontId="3" type="noConversion"/>
  </si>
  <si>
    <t>75*30</t>
  </si>
  <si>
    <t>타이빔 C형강</t>
    <phoneticPr fontId="3" type="noConversion"/>
  </si>
  <si>
    <t>◆ 세화-선반형 파렛트랙 견적내역</t>
    <phoneticPr fontId="3" type="noConversion"/>
  </si>
  <si>
    <t xml:space="preserve"> - HR과 아연도 중에 하나를 선택하시면 자동 계산 됩니다.</t>
    <phoneticPr fontId="3" type="noConversion"/>
  </si>
  <si>
    <t>로드빔 단수</t>
    <phoneticPr fontId="3" type="noConversion"/>
  </si>
  <si>
    <t>단당 타이빔</t>
    <phoneticPr fontId="3" type="noConversion"/>
  </si>
  <si>
    <t>1. 노란색 음영 부분이 변경하실 수 있는 부분입니다.</t>
    <phoneticPr fontId="3" type="noConversion"/>
  </si>
  <si>
    <t>2. 가장 윗부분의 규격 및 수량 입력하십시오.</t>
    <phoneticPr fontId="3" type="noConversion"/>
  </si>
  <si>
    <t>4. 95바 파렛트랙 기둥 생산 가능합니다. (신규 금형)</t>
    <phoneticPr fontId="3" type="noConversion"/>
  </si>
  <si>
    <t>5. 타이빔, 브레싱 HR/아연도 선택 가능</t>
    <phoneticPr fontId="3" type="noConversion"/>
  </si>
  <si>
    <t>* 활용 방법</t>
    <phoneticPr fontId="3" type="noConversion"/>
  </si>
  <si>
    <t>7. 총 금액에 따라 아래의 비율 변경 하시면 됩니다.</t>
    <phoneticPr fontId="3" type="noConversion"/>
  </si>
  <si>
    <t xml:space="preserve"> - 75*30 과 75*45 중에 하나를 선택하시면 자동 계산 됩니다.</t>
    <phoneticPr fontId="3" type="noConversion"/>
  </si>
  <si>
    <t>3. 로드빔 타입 선택하시고 로드빔 자재 두께를 선택하십시오.</t>
    <phoneticPr fontId="3" type="noConversion"/>
  </si>
  <si>
    <t>5. 타이빔 75*30 C형과 75*45 C형강 선택 가능</t>
    <phoneticPr fontId="3" type="noConversion"/>
  </si>
  <si>
    <t>6. 브레싱 HR/아연도 선택 가능</t>
    <phoneticPr fontId="3" type="noConversion"/>
  </si>
  <si>
    <t>단당 선반 수량</t>
    <phoneticPr fontId="3" type="noConversion"/>
  </si>
  <si>
    <t>5. 95바 파렛트랙 기둥 생산 가능합니다. (신규 금형)</t>
    <phoneticPr fontId="3" type="noConversion"/>
  </si>
  <si>
    <t>4. 단당 선반 수량 변경 가능. 2585용 과 2785용은 단당 3장씩도 선택 가능합니다.</t>
    <phoneticPr fontId="3" type="noConversion"/>
  </si>
  <si>
    <t xml:space="preserve"> - 선반형 스텝로드빔은 100bar, 125bar, 150bar만 생산이 가능합니다. (75bar 생산 불가)</t>
    <phoneticPr fontId="3" type="noConversion"/>
  </si>
  <si>
    <t>선반 단수</t>
    <phoneticPr fontId="3" type="noConversion"/>
  </si>
  <si>
    <t>PP안정좌</t>
    <phoneticPr fontId="3" type="noConversion"/>
  </si>
  <si>
    <t>경량랙</t>
    <phoneticPr fontId="3" type="noConversion"/>
  </si>
  <si>
    <t>오메가 기둥 중량랙</t>
    <phoneticPr fontId="3" type="noConversion"/>
  </si>
  <si>
    <t>오메가 기둥</t>
    <phoneticPr fontId="3" type="noConversion"/>
  </si>
  <si>
    <t>프론트빔</t>
    <phoneticPr fontId="3" type="noConversion"/>
  </si>
  <si>
    <t>상단 클립</t>
    <phoneticPr fontId="3" type="noConversion"/>
  </si>
  <si>
    <r>
      <rPr>
        <b/>
        <sz val="10"/>
        <color rgb="FF0000FF"/>
        <rFont val="맑은 고딕"/>
        <family val="3"/>
        <charset val="129"/>
      </rPr>
      <t xml:space="preserve">50피치 </t>
    </r>
    <r>
      <rPr>
        <b/>
        <sz val="10"/>
        <color theme="1"/>
        <rFont val="맑은 고딕"/>
        <family val="3"/>
        <charset val="129"/>
      </rPr>
      <t>중량랙 기둥</t>
    </r>
    <phoneticPr fontId="3" type="noConversion"/>
  </si>
  <si>
    <t>일반 중량랙 기둥에 50피치 4홀타공</t>
    <phoneticPr fontId="3" type="noConversion"/>
  </si>
  <si>
    <t>* 특별하게 요청하시면 기존 중량랙으로 생산해드립니다.</t>
    <phoneticPr fontId="3" type="noConversion"/>
  </si>
  <si>
    <t>4. 총 금액에 따라 아래의 비율 변경 하시면 됩니다.</t>
    <phoneticPr fontId="3" type="noConversion"/>
  </si>
  <si>
    <t>3. 선반 두께 (1.0t&lt;-&gt;0.8t) 변경가능.</t>
    <phoneticPr fontId="3" type="noConversion"/>
  </si>
  <si>
    <t>* 각파이프 홀더도 따로 견적을 받으셔야 합니다.</t>
    <phoneticPr fontId="3" type="noConversion"/>
  </si>
  <si>
    <t>* 비규격 스텝 로드빔은 물량이 어느 정도 되는 경우에만 생산이 가능합니다. (소량생산 불가)</t>
    <phoneticPr fontId="3" type="noConversion"/>
  </si>
  <si>
    <t xml:space="preserve">* 규격 스텝 로드빔은 소량생산도 가능합니다. </t>
    <phoneticPr fontId="3" type="noConversion"/>
  </si>
  <si>
    <t>◆ 세화-데크, 데크 마감재 견적내역</t>
    <phoneticPr fontId="3" type="noConversion"/>
  </si>
  <si>
    <t>* 500만원 이상시 5% 네고 (10% -&gt; 5%)</t>
    <phoneticPr fontId="3" type="noConversion"/>
  </si>
  <si>
    <t>* 3000만원 이상시 3% 추가네고 (10% -&gt; 2%)</t>
    <phoneticPr fontId="3" type="noConversion"/>
  </si>
  <si>
    <t>* 1억원 이상시 2% 추가네고 (10% -&gt; 0%)</t>
    <phoneticPr fontId="3" type="noConversion"/>
  </si>
  <si>
    <t>* 특별하게 요청하시면 기존 경량랙으로 생산해드립니다.</t>
    <phoneticPr fontId="3" type="noConversion"/>
  </si>
  <si>
    <t>* 신규 중량랙과 같은 자재에 두께만 다르고 호환이 가능한 신규 경량랙 입니다.</t>
    <phoneticPr fontId="3" type="noConversion"/>
  </si>
  <si>
    <r>
      <rPr>
        <b/>
        <sz val="10"/>
        <color rgb="FF0000FF"/>
        <rFont val="맑은 고딕"/>
        <family val="3"/>
        <charset val="129"/>
      </rPr>
      <t xml:space="preserve">50피치 </t>
    </r>
    <r>
      <rPr>
        <b/>
        <sz val="10"/>
        <rFont val="맑은 고딕"/>
        <family val="3"/>
        <charset val="129"/>
      </rPr>
      <t>경</t>
    </r>
    <r>
      <rPr>
        <b/>
        <sz val="10"/>
        <color theme="1"/>
        <rFont val="맑은 고딕"/>
        <family val="3"/>
        <charset val="129"/>
      </rPr>
      <t>량랙 기둥</t>
    </r>
    <phoneticPr fontId="3" type="noConversion"/>
  </si>
  <si>
    <t>일반 경량랙 기둥에 50피치 4홀타공</t>
    <phoneticPr fontId="3" type="noConversion"/>
  </si>
  <si>
    <t>아연도</t>
  </si>
  <si>
    <t>내경 995mm</t>
    <phoneticPr fontId="3" type="noConversion"/>
  </si>
  <si>
    <t>3. 선반 두께 (0.8t&lt;-&gt;1.0t) 변경가능.</t>
    <phoneticPr fontId="3" type="noConversion"/>
  </si>
  <si>
    <t>6. 타이빔 75*30 C형과 75*45 C형강 선택 가능 (75*45도 압착형으로 생산 가능합니다!!)</t>
    <phoneticPr fontId="3" type="noConversion"/>
  </si>
  <si>
    <t xml:space="preserve"> - 85바(85x75) 기둥은 85바 선택하시고, 두께에 1.8t, 2.0t, 2.3t 중 하나를 기입하시면 됩니다.</t>
    <phoneticPr fontId="3" type="noConversion"/>
  </si>
  <si>
    <t xml:space="preserve"> - 95바(95x80) 기둥은 95바 선택하시고, 두께에 2.3t, 2.6t, 3.0t 중 하나를 기입하시면 됩니다.</t>
    <phoneticPr fontId="3" type="noConversion"/>
  </si>
  <si>
    <t xml:space="preserve"> - 75*45 압착형 타이빔은 900용, 1000용, 1100용, 1200용만 생산 가능합니다.</t>
    <phoneticPr fontId="3" type="noConversion"/>
  </si>
  <si>
    <t>◆ 세화-스텝로드빔 선반형 파렛트랙 견적내역</t>
    <phoneticPr fontId="3" type="noConversion"/>
  </si>
  <si>
    <t>◆ 세화-중량랙 견적내역</t>
    <phoneticPr fontId="3" type="noConversion"/>
  </si>
  <si>
    <t>◆ 세화-경량랙 견적내역</t>
    <phoneticPr fontId="3" type="noConversion"/>
  </si>
  <si>
    <t>◆ 세화-오메가 기둥 중량랙 견적내역</t>
    <phoneticPr fontId="3" type="noConversion"/>
  </si>
  <si>
    <t>◆ 세화-파렛트랙 견적내역</t>
    <phoneticPr fontId="3" type="noConversion"/>
  </si>
  <si>
    <t>◆ 세화-용접타이빔 파렛트랙 견적내역</t>
    <phoneticPr fontId="3" type="noConversion"/>
  </si>
  <si>
    <t>용접타이빔</t>
    <phoneticPr fontId="3" type="noConversion"/>
  </si>
  <si>
    <t>◆ 세화-홀더 견적내역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</si>
</sst>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-* #,##0_-;\-* #,##0_-;_-* &quot;-&quot;_-;_-@_-"/>
    <numFmt numFmtId="43" formatCode="_-* #,##0.00_-;\-* #,##0.00_-;_-* &quot;-&quot;??_-;_-@_-"/>
    <numFmt numFmtId="176" formatCode="#,##0_ ;[Red]\-#,##0\ "/>
    <numFmt numFmtId="177" formatCode="m&quot;월&quot;\ d&quot;일&quot;;@"/>
    <numFmt numFmtId="178" formatCode="#,##0_);[Red]\(#,##0\)"/>
    <numFmt numFmtId="179" formatCode="#,##0.0_ "/>
    <numFmt numFmtId="180" formatCode="#,##0_ "/>
    <numFmt numFmtId="181" formatCode="yyyy&quot;년&quot;\ m&quot;월&quot;\ d&quot;일&quot;;@"/>
    <numFmt numFmtId="182" formatCode="0_);[Red]\(0\)"/>
    <numFmt numFmtId="183" formatCode="_-* #,##0.00_-;\-* #,##0.00_-;_-* &quot;-&quot;_-;_-@_-"/>
    <numFmt numFmtId="184" formatCode="#,##0.000_ "/>
    <numFmt numFmtId="185" formatCode="_-* #,##0.0_-;\-* #,##0.0_-;_-* &quot;-&quot;_-;_-@_-"/>
    <numFmt numFmtId="186" formatCode="0_ ;[Red]\-0\ "/>
  </numFmts>
  <fonts count="3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2"/>
      <color theme="1"/>
      <name val="맑은 고딕"/>
      <family val="3"/>
      <charset val="129"/>
    </font>
    <font>
      <b/>
      <sz val="10"/>
      <color indexed="8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12"/>
      <color rgb="FF0000FF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sz val="11"/>
      <color rgb="FF0000FF"/>
      <name val="맑은 고딕"/>
      <family val="3"/>
      <charset val="129"/>
    </font>
    <font>
      <sz val="10"/>
      <name val="맑은 고딕"/>
      <family val="3"/>
      <charset val="129"/>
    </font>
    <font>
      <sz val="11"/>
      <name val="맑은 고딕"/>
      <family val="3"/>
      <charset val="129"/>
    </font>
    <font>
      <sz val="8"/>
      <name val="돋움"/>
      <family val="3"/>
      <charset val="129"/>
    </font>
    <font>
      <b/>
      <sz val="11"/>
      <color rgb="FFFF0000"/>
      <name val="맑은 고딕"/>
      <family val="3"/>
      <charset val="129"/>
    </font>
    <font>
      <b/>
      <sz val="11"/>
      <color rgb="FF0000FF"/>
      <name val="맑은 고딕"/>
      <family val="3"/>
      <charset val="129"/>
    </font>
    <font>
      <sz val="16"/>
      <color rgb="FF0000FF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0"/>
      <color rgb="FF0000FF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1"/>
      <color rgb="FF0000FF"/>
      <name val="맑은 고딕"/>
      <family val="3"/>
      <charset val="129"/>
      <scheme val="minor"/>
    </font>
    <font>
      <b/>
      <sz val="10"/>
      <color rgb="FF0000FF"/>
      <name val="맑은 고딕"/>
      <family val="3"/>
      <charset val="129"/>
    </font>
    <font>
      <b/>
      <sz val="10"/>
      <name val="맑은 고딕"/>
      <family val="3"/>
      <charset val="129"/>
    </font>
    <font>
      <b/>
      <sz val="14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3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thin">
        <color indexed="64"/>
      </right>
      <top style="thin">
        <color auto="1"/>
      </top>
      <bottom style="double">
        <color indexed="64"/>
      </bottom>
      <diagonal/>
    </border>
    <border>
      <left/>
      <right style="medium">
        <color indexed="64"/>
      </right>
      <top style="thin">
        <color auto="1"/>
      </top>
      <bottom style="double">
        <color indexed="64"/>
      </bottom>
      <diagonal/>
    </border>
    <border>
      <left style="medium">
        <color auto="1"/>
      </left>
      <right style="thin">
        <color indexed="64"/>
      </right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</borders>
  <cellStyleXfs count="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42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41" fontId="6" fillId="0" borderId="0" xfId="1" applyFont="1" applyAlignment="1">
      <alignment horizontal="center" vertical="center"/>
    </xf>
    <xf numFmtId="41" fontId="5" fillId="0" borderId="0" xfId="1" applyFont="1" applyAlignment="1">
      <alignment horizontal="center" vertical="center"/>
    </xf>
    <xf numFmtId="41" fontId="10" fillId="0" borderId="0" xfId="1" applyFont="1">
      <alignment vertical="center"/>
    </xf>
    <xf numFmtId="41" fontId="8" fillId="0" borderId="0" xfId="1" applyFont="1" applyAlignment="1">
      <alignment horizontal="center" vertical="center"/>
    </xf>
    <xf numFmtId="176" fontId="11" fillId="3" borderId="7" xfId="0" applyNumberFormat="1" applyFont="1" applyFill="1" applyBorder="1">
      <alignment vertical="center"/>
    </xf>
    <xf numFmtId="0" fontId="8" fillId="0" borderId="6" xfId="0" applyFont="1" applyBorder="1" applyAlignment="1">
      <alignment horizontal="center" vertical="center"/>
    </xf>
    <xf numFmtId="0" fontId="11" fillId="3" borderId="7" xfId="0" applyFont="1" applyFill="1" applyBorder="1">
      <alignment vertical="center"/>
    </xf>
    <xf numFmtId="177" fontId="8" fillId="0" borderId="6" xfId="0" applyNumberFormat="1" applyFont="1" applyBorder="1" applyAlignment="1">
      <alignment horizontal="center" vertical="center"/>
    </xf>
    <xf numFmtId="41" fontId="12" fillId="0" borderId="0" xfId="1" applyFont="1">
      <alignment vertical="center"/>
    </xf>
    <xf numFmtId="41" fontId="10" fillId="0" borderId="0" xfId="1" applyFont="1" applyAlignment="1">
      <alignment horizontal="center" vertical="center"/>
    </xf>
    <xf numFmtId="0" fontId="9" fillId="2" borderId="19" xfId="0" applyFont="1" applyFill="1" applyBorder="1" applyAlignment="1">
      <alignment horizontal="center" vertical="center"/>
    </xf>
    <xf numFmtId="0" fontId="9" fillId="2" borderId="20" xfId="0" applyFont="1" applyFill="1" applyBorder="1" applyAlignment="1">
      <alignment horizontal="center" vertical="center"/>
    </xf>
    <xf numFmtId="178" fontId="8" fillId="0" borderId="7" xfId="0" applyNumberFormat="1" applyFont="1" applyBorder="1" applyAlignment="1">
      <alignment horizontal="right" vertical="center"/>
    </xf>
    <xf numFmtId="179" fontId="11" fillId="3" borderId="10" xfId="0" applyNumberFormat="1" applyFont="1" applyFill="1" applyBorder="1">
      <alignment vertical="center"/>
    </xf>
    <xf numFmtId="179" fontId="8" fillId="0" borderId="7" xfId="0" applyNumberFormat="1" applyFont="1" applyBorder="1">
      <alignment vertical="center"/>
    </xf>
    <xf numFmtId="179" fontId="8" fillId="0" borderId="10" xfId="0" applyNumberFormat="1" applyFont="1" applyBorder="1">
      <alignment vertical="center"/>
    </xf>
    <xf numFmtId="176" fontId="8" fillId="0" borderId="7" xfId="0" applyNumberFormat="1" applyFont="1" applyBorder="1" applyAlignment="1">
      <alignment horizontal="right" vertical="center"/>
    </xf>
    <xf numFmtId="41" fontId="12" fillId="0" borderId="20" xfId="1" applyFont="1" applyBorder="1" applyAlignment="1">
      <alignment horizontal="center" vertical="center"/>
    </xf>
    <xf numFmtId="180" fontId="9" fillId="2" borderId="24" xfId="0" applyNumberFormat="1" applyFont="1" applyFill="1" applyBorder="1" applyAlignment="1">
      <alignment horizontal="right" vertical="center"/>
    </xf>
    <xf numFmtId="0" fontId="9" fillId="2" borderId="23" xfId="0" applyFont="1" applyFill="1" applyBorder="1" applyAlignment="1">
      <alignment horizontal="center" vertical="center"/>
    </xf>
    <xf numFmtId="179" fontId="9" fillId="2" borderId="22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  <xf numFmtId="181" fontId="4" fillId="0" borderId="0" xfId="0" applyNumberFormat="1" applyFont="1" applyAlignment="1">
      <alignment horizontal="right"/>
    </xf>
    <xf numFmtId="41" fontId="12" fillId="0" borderId="0" xfId="1" applyFont="1" applyAlignment="1">
      <alignment horizontal="center" vertical="center"/>
    </xf>
    <xf numFmtId="41" fontId="14" fillId="0" borderId="0" xfId="1" applyFont="1" applyAlignment="1">
      <alignment horizontal="left" vertical="center"/>
    </xf>
    <xf numFmtId="0" fontId="14" fillId="0" borderId="0" xfId="2" quotePrefix="1" applyFont="1">
      <alignment vertical="center"/>
    </xf>
    <xf numFmtId="0" fontId="14" fillId="0" borderId="0" xfId="2" applyFont="1" applyAlignment="1">
      <alignment horizontal="center" vertical="center"/>
    </xf>
    <xf numFmtId="41" fontId="14" fillId="0" borderId="26" xfId="1" applyFont="1" applyBorder="1" applyAlignment="1">
      <alignment horizontal="left" vertical="center"/>
    </xf>
    <xf numFmtId="182" fontId="11" fillId="3" borderId="7" xfId="1" applyNumberFormat="1" applyFont="1" applyFill="1" applyBorder="1">
      <alignment vertical="center"/>
    </xf>
    <xf numFmtId="177" fontId="8" fillId="0" borderId="6" xfId="1" applyNumberFormat="1" applyFont="1" applyBorder="1">
      <alignment vertical="center"/>
    </xf>
    <xf numFmtId="0" fontId="14" fillId="0" borderId="20" xfId="2" applyFont="1" applyBorder="1" applyAlignment="1">
      <alignment horizontal="center" vertical="center"/>
    </xf>
    <xf numFmtId="178" fontId="14" fillId="0" borderId="7" xfId="2" applyNumberFormat="1" applyFont="1" applyBorder="1" applyAlignment="1">
      <alignment horizontal="right" vertical="center"/>
    </xf>
    <xf numFmtId="41" fontId="14" fillId="0" borderId="6" xfId="1" applyFont="1" applyBorder="1" applyAlignment="1">
      <alignment horizontal="left" vertical="center"/>
    </xf>
    <xf numFmtId="178" fontId="16" fillId="3" borderId="7" xfId="2" applyNumberFormat="1" applyFont="1" applyFill="1" applyBorder="1" applyAlignment="1">
      <alignment horizontal="right" vertical="center"/>
    </xf>
    <xf numFmtId="178" fontId="14" fillId="0" borderId="0" xfId="2" applyNumberFormat="1" applyFont="1" applyAlignment="1">
      <alignment horizontal="right" vertical="center"/>
    </xf>
    <xf numFmtId="41" fontId="17" fillId="0" borderId="0" xfId="1" applyFont="1">
      <alignment vertical="center"/>
    </xf>
    <xf numFmtId="41" fontId="14" fillId="0" borderId="20" xfId="1" applyFont="1" applyBorder="1" applyAlignment="1">
      <alignment horizontal="center" vertical="center"/>
    </xf>
    <xf numFmtId="0" fontId="14" fillId="0" borderId="20" xfId="1" applyNumberFormat="1" applyFont="1" applyBorder="1" applyAlignment="1">
      <alignment horizontal="center" vertical="center"/>
    </xf>
    <xf numFmtId="179" fontId="13" fillId="0" borderId="10" xfId="0" applyNumberFormat="1" applyFont="1" applyBorder="1">
      <alignment vertical="center"/>
    </xf>
    <xf numFmtId="179" fontId="13" fillId="0" borderId="7" xfId="0" applyNumberFormat="1" applyFont="1" applyBorder="1">
      <alignment vertical="center"/>
    </xf>
    <xf numFmtId="9" fontId="8" fillId="0" borderId="0" xfId="1" applyNumberFormat="1" applyFont="1" applyAlignment="1">
      <alignment horizontal="center" vertical="center"/>
    </xf>
    <xf numFmtId="178" fontId="16" fillId="0" borderId="0" xfId="2" applyNumberFormat="1" applyFont="1" applyAlignment="1">
      <alignment horizontal="right" vertical="center"/>
    </xf>
    <xf numFmtId="41" fontId="12" fillId="0" borderId="0" xfId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43" fontId="12" fillId="0" borderId="0" xfId="0" applyNumberFormat="1" applyFont="1" applyAlignment="1">
      <alignment horizontal="center" vertical="center"/>
    </xf>
    <xf numFmtId="176" fontId="4" fillId="2" borderId="24" xfId="0" applyNumberFormat="1" applyFont="1" applyFill="1" applyBorder="1">
      <alignment vertical="center"/>
    </xf>
    <xf numFmtId="176" fontId="9" fillId="2" borderId="22" xfId="0" applyNumberFormat="1" applyFont="1" applyFill="1" applyBorder="1" applyAlignment="1">
      <alignment horizontal="center" vertical="center"/>
    </xf>
    <xf numFmtId="176" fontId="16" fillId="3" borderId="24" xfId="0" applyNumberFormat="1" applyFont="1" applyFill="1" applyBorder="1">
      <alignment vertical="center"/>
    </xf>
    <xf numFmtId="176" fontId="4" fillId="0" borderId="25" xfId="0" applyNumberFormat="1" applyFont="1" applyBorder="1">
      <alignment vertical="center"/>
    </xf>
    <xf numFmtId="0" fontId="14" fillId="0" borderId="0" xfId="0" applyFont="1" applyAlignment="1">
      <alignment horizontal="left" vertical="center"/>
    </xf>
    <xf numFmtId="0" fontId="12" fillId="0" borderId="0" xfId="0" applyFont="1">
      <alignment vertical="center"/>
    </xf>
    <xf numFmtId="41" fontId="16" fillId="0" borderId="0" xfId="1" applyFont="1">
      <alignment vertical="center"/>
    </xf>
    <xf numFmtId="183" fontId="12" fillId="0" borderId="0" xfId="1" applyNumberFormat="1" applyFont="1" applyAlignment="1">
      <alignment horizontal="center" vertical="center"/>
    </xf>
    <xf numFmtId="41" fontId="18" fillId="0" borderId="0" xfId="1" applyFont="1" applyAlignment="1">
      <alignment horizontal="center" vertical="center"/>
    </xf>
    <xf numFmtId="0" fontId="19" fillId="2" borderId="20" xfId="0" applyFont="1" applyFill="1" applyBorder="1" applyAlignment="1">
      <alignment horizontal="center" vertical="center"/>
    </xf>
    <xf numFmtId="178" fontId="20" fillId="0" borderId="7" xfId="0" applyNumberFormat="1" applyFont="1" applyBorder="1">
      <alignment vertical="center"/>
    </xf>
    <xf numFmtId="0" fontId="20" fillId="0" borderId="6" xfId="0" applyFont="1" applyBorder="1" applyAlignment="1">
      <alignment horizontal="center" vertical="center"/>
    </xf>
    <xf numFmtId="178" fontId="20" fillId="0" borderId="7" xfId="0" applyNumberFormat="1" applyFont="1" applyBorder="1" applyAlignment="1">
      <alignment horizontal="right" vertical="center"/>
    </xf>
    <xf numFmtId="179" fontId="20" fillId="0" borderId="10" xfId="0" applyNumberFormat="1" applyFont="1" applyBorder="1">
      <alignment vertical="center"/>
    </xf>
    <xf numFmtId="0" fontId="20" fillId="0" borderId="10" xfId="0" applyFont="1" applyBorder="1" applyAlignment="1">
      <alignment horizontal="center" vertical="center"/>
    </xf>
    <xf numFmtId="179" fontId="20" fillId="0" borderId="7" xfId="0" applyNumberFormat="1" applyFont="1" applyBorder="1">
      <alignment vertical="center"/>
    </xf>
    <xf numFmtId="176" fontId="8" fillId="0" borderId="0" xfId="0" applyNumberFormat="1" applyFont="1" applyAlignment="1">
      <alignment horizontal="center" vertical="center"/>
    </xf>
    <xf numFmtId="0" fontId="8" fillId="0" borderId="0" xfId="0" applyFont="1">
      <alignment vertical="center"/>
    </xf>
    <xf numFmtId="178" fontId="21" fillId="3" borderId="7" xfId="0" applyNumberFormat="1" applyFont="1" applyFill="1" applyBorder="1" applyAlignment="1">
      <alignment horizontal="right" vertical="center"/>
    </xf>
    <xf numFmtId="179" fontId="20" fillId="0" borderId="10" xfId="0" applyNumberFormat="1" applyFont="1" applyBorder="1" applyAlignment="1">
      <alignment vertical="center" shrinkToFit="1"/>
    </xf>
    <xf numFmtId="176" fontId="20" fillId="0" borderId="7" xfId="0" applyNumberFormat="1" applyFont="1" applyBorder="1" applyAlignment="1">
      <alignment horizontal="right" vertical="center"/>
    </xf>
    <xf numFmtId="184" fontId="8" fillId="0" borderId="10" xfId="0" applyNumberFormat="1" applyFont="1" applyBorder="1">
      <alignment vertical="center"/>
    </xf>
    <xf numFmtId="179" fontId="22" fillId="0" borderId="10" xfId="0" applyNumberFormat="1" applyFont="1" applyBorder="1">
      <alignment vertical="center"/>
    </xf>
    <xf numFmtId="41" fontId="14" fillId="0" borderId="0" xfId="1" applyFont="1" applyAlignment="1">
      <alignment horizontal="center" vertical="center"/>
    </xf>
    <xf numFmtId="0" fontId="14" fillId="0" borderId="0" xfId="1" applyNumberFormat="1" applyFont="1" applyAlignment="1">
      <alignment horizontal="center" vertical="center"/>
    </xf>
    <xf numFmtId="176" fontId="9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3" fillId="0" borderId="0" xfId="0" applyFont="1" applyAlignment="1"/>
    <xf numFmtId="41" fontId="24" fillId="0" borderId="0" xfId="1" applyFont="1" applyAlignment="1">
      <alignment horizontal="center" vertical="center"/>
    </xf>
    <xf numFmtId="41" fontId="20" fillId="0" borderId="0" xfId="1" applyFont="1" applyAlignment="1">
      <alignment horizontal="center" vertical="center"/>
    </xf>
    <xf numFmtId="0" fontId="19" fillId="2" borderId="19" xfId="0" applyFont="1" applyFill="1" applyBorder="1" applyAlignment="1">
      <alignment horizontal="center" vertical="center"/>
    </xf>
    <xf numFmtId="41" fontId="20" fillId="0" borderId="7" xfId="1" applyFont="1" applyBorder="1">
      <alignment vertical="center"/>
    </xf>
    <xf numFmtId="0" fontId="20" fillId="0" borderId="6" xfId="0" applyFont="1" applyBorder="1">
      <alignment vertical="center"/>
    </xf>
    <xf numFmtId="0" fontId="26" fillId="0" borderId="0" xfId="0" applyFont="1">
      <alignment vertical="center"/>
    </xf>
    <xf numFmtId="0" fontId="27" fillId="0" borderId="0" xfId="0" applyFont="1">
      <alignment vertical="center"/>
    </xf>
    <xf numFmtId="0" fontId="20" fillId="0" borderId="7" xfId="0" applyFont="1" applyBorder="1">
      <alignment vertical="center"/>
    </xf>
    <xf numFmtId="0" fontId="20" fillId="0" borderId="10" xfId="0" applyFont="1" applyBorder="1">
      <alignment vertical="center"/>
    </xf>
    <xf numFmtId="0" fontId="23" fillId="0" borderId="0" xfId="0" applyFont="1" applyAlignment="1">
      <alignment wrapText="1"/>
    </xf>
    <xf numFmtId="0" fontId="23" fillId="0" borderId="0" xfId="0" applyFont="1" applyAlignment="1">
      <alignment horizontal="center"/>
    </xf>
    <xf numFmtId="0" fontId="22" fillId="0" borderId="10" xfId="0" applyFont="1" applyBorder="1">
      <alignment vertical="center"/>
    </xf>
    <xf numFmtId="41" fontId="21" fillId="3" borderId="7" xfId="1" applyFont="1" applyFill="1" applyBorder="1">
      <alignment vertical="center"/>
    </xf>
    <xf numFmtId="0" fontId="21" fillId="3" borderId="7" xfId="0" applyFont="1" applyFill="1" applyBorder="1">
      <alignment vertical="center"/>
    </xf>
    <xf numFmtId="185" fontId="20" fillId="0" borderId="7" xfId="1" applyNumberFormat="1" applyFont="1" applyBorder="1">
      <alignment vertical="center"/>
    </xf>
    <xf numFmtId="0" fontId="8" fillId="0" borderId="10" xfId="0" applyFont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 shrinkToFit="1"/>
    </xf>
    <xf numFmtId="186" fontId="28" fillId="3" borderId="7" xfId="0" applyNumberFormat="1" applyFont="1" applyFill="1" applyBorder="1" applyAlignment="1">
      <alignment horizontal="center" vertical="center"/>
    </xf>
    <xf numFmtId="178" fontId="8" fillId="0" borderId="7" xfId="0" applyNumberFormat="1" applyFont="1" applyBorder="1">
      <alignment vertical="center"/>
    </xf>
    <xf numFmtId="179" fontId="8" fillId="0" borderId="7" xfId="0" applyNumberFormat="1" applyFont="1" applyBorder="1" applyAlignment="1">
      <alignment horizontal="right" vertical="center" shrinkToFit="1"/>
    </xf>
    <xf numFmtId="179" fontId="8" fillId="0" borderId="27" xfId="0" applyNumberFormat="1" applyFont="1" applyBorder="1" applyAlignment="1">
      <alignment horizontal="right" vertical="center" shrinkToFit="1"/>
    </xf>
    <xf numFmtId="179" fontId="9" fillId="2" borderId="24" xfId="0" applyNumberFormat="1" applyFont="1" applyFill="1" applyBorder="1" applyAlignment="1">
      <alignment horizontal="right" vertical="center" shrinkToFit="1"/>
    </xf>
    <xf numFmtId="41" fontId="8" fillId="0" borderId="10" xfId="1" applyFont="1" applyBorder="1" applyAlignment="1">
      <alignment vertical="center"/>
    </xf>
    <xf numFmtId="179" fontId="28" fillId="0" borderId="10" xfId="0" applyNumberFormat="1" applyFont="1" applyBorder="1">
      <alignment vertical="center"/>
    </xf>
    <xf numFmtId="0" fontId="20" fillId="0" borderId="6" xfId="0" applyFont="1" applyBorder="1" applyAlignment="1">
      <alignment horizontal="left" vertical="center" shrinkToFit="1"/>
    </xf>
    <xf numFmtId="179" fontId="8" fillId="0" borderId="7" xfId="0" applyNumberFormat="1" applyFont="1" applyBorder="1" applyAlignment="1">
      <alignment horizontal="right" vertical="center"/>
    </xf>
    <xf numFmtId="180" fontId="23" fillId="2" borderId="24" xfId="0" applyNumberFormat="1" applyFont="1" applyFill="1" applyBorder="1" applyAlignment="1">
      <alignment horizontal="right" vertical="center"/>
    </xf>
    <xf numFmtId="0" fontId="23" fillId="2" borderId="23" xfId="0" applyFont="1" applyFill="1" applyBorder="1" applyAlignment="1">
      <alignment horizontal="center" vertical="center"/>
    </xf>
    <xf numFmtId="179" fontId="23" fillId="2" borderId="22" xfId="1" applyNumberFormat="1" applyFont="1" applyFill="1" applyBorder="1" applyAlignment="1">
      <alignment horizontal="center" vertical="center"/>
    </xf>
    <xf numFmtId="0" fontId="23" fillId="2" borderId="22" xfId="0" applyFont="1" applyFill="1" applyBorder="1" applyAlignment="1">
      <alignment horizontal="center" vertical="center"/>
    </xf>
    <xf numFmtId="176" fontId="23" fillId="2" borderId="23" xfId="0" applyNumberFormat="1" applyFont="1" applyFill="1" applyBorder="1" applyAlignment="1">
      <alignment horizontal="center" vertical="center"/>
    </xf>
    <xf numFmtId="179" fontId="28" fillId="3" borderId="10" xfId="0" applyNumberFormat="1" applyFont="1" applyFill="1" applyBorder="1">
      <alignment vertical="center"/>
    </xf>
    <xf numFmtId="178" fontId="28" fillId="0" borderId="7" xfId="0" applyNumberFormat="1" applyFont="1" applyBorder="1" applyAlignment="1">
      <alignment horizontal="right" vertical="center"/>
    </xf>
    <xf numFmtId="178" fontId="25" fillId="3" borderId="7" xfId="0" applyNumberFormat="1" applyFont="1" applyFill="1" applyBorder="1" applyAlignment="1">
      <alignment horizontal="right" vertical="center"/>
    </xf>
    <xf numFmtId="0" fontId="14" fillId="0" borderId="7" xfId="2" applyFont="1" applyBorder="1" applyAlignment="1">
      <alignment horizontal="center" vertical="center"/>
    </xf>
    <xf numFmtId="41" fontId="14" fillId="0" borderId="38" xfId="1" applyFont="1" applyBorder="1" applyAlignment="1">
      <alignment horizontal="left" vertical="center"/>
    </xf>
    <xf numFmtId="178" fontId="13" fillId="4" borderId="20" xfId="0" applyNumberFormat="1" applyFont="1" applyFill="1" applyBorder="1" applyAlignment="1">
      <alignment horizontal="center" vertical="center"/>
    </xf>
    <xf numFmtId="0" fontId="30" fillId="0" borderId="0" xfId="0" applyFont="1">
      <alignment vertical="center"/>
    </xf>
    <xf numFmtId="41" fontId="9" fillId="2" borderId="3" xfId="1" applyFont="1" applyFill="1" applyBorder="1" applyAlignment="1">
      <alignment horizontal="center" vertical="center"/>
    </xf>
    <xf numFmtId="41" fontId="9" fillId="2" borderId="4" xfId="1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8" fillId="2" borderId="14" xfId="0" applyFont="1" applyFill="1" applyBorder="1">
      <alignment vertical="center"/>
    </xf>
    <xf numFmtId="0" fontId="9" fillId="2" borderId="11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16" xfId="0" applyFont="1" applyFill="1" applyBorder="1" applyAlignment="1">
      <alignment horizontal="center" vertical="center"/>
    </xf>
    <xf numFmtId="0" fontId="9" fillId="2" borderId="17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8" fillId="2" borderId="10" xfId="0" applyFont="1" applyFill="1" applyBorder="1">
      <alignment vertical="center"/>
    </xf>
    <xf numFmtId="0" fontId="8" fillId="2" borderId="6" xfId="0" applyFont="1" applyFill="1" applyBorder="1">
      <alignment vertical="center"/>
    </xf>
    <xf numFmtId="0" fontId="9" fillId="2" borderId="11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 shrinkToFit="1"/>
    </xf>
    <xf numFmtId="0" fontId="5" fillId="0" borderId="8" xfId="0" applyFont="1" applyBorder="1" applyAlignment="1">
      <alignment horizontal="center" vertical="center" shrinkToFit="1"/>
    </xf>
    <xf numFmtId="0" fontId="7" fillId="2" borderId="1" xfId="0" applyFont="1" applyFill="1" applyBorder="1" applyAlignment="1">
      <alignment horizontal="center" vertical="center"/>
    </xf>
    <xf numFmtId="0" fontId="7" fillId="2" borderId="33" xfId="0" applyFont="1" applyFill="1" applyBorder="1" applyAlignment="1">
      <alignment horizontal="center" vertical="center"/>
    </xf>
    <xf numFmtId="0" fontId="8" fillId="2" borderId="2" xfId="0" applyFont="1" applyFill="1" applyBorder="1">
      <alignment vertical="center"/>
    </xf>
    <xf numFmtId="0" fontId="9" fillId="2" borderId="3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/>
    </xf>
    <xf numFmtId="176" fontId="11" fillId="0" borderId="7" xfId="0" applyNumberFormat="1" applyFont="1" applyBorder="1" applyAlignment="1">
      <alignment horizontal="center" vertical="center"/>
    </xf>
    <xf numFmtId="176" fontId="11" fillId="0" borderId="8" xfId="0" applyNumberFormat="1" applyFont="1" applyBorder="1" applyAlignment="1">
      <alignment horizontal="center" vertical="center"/>
    </xf>
    <xf numFmtId="0" fontId="8" fillId="2" borderId="12" xfId="0" applyFont="1" applyFill="1" applyBorder="1">
      <alignment vertical="center"/>
    </xf>
    <xf numFmtId="0" fontId="8" fillId="2" borderId="16" xfId="0" applyFont="1" applyFill="1" applyBorder="1">
      <alignment vertical="center"/>
    </xf>
    <xf numFmtId="0" fontId="8" fillId="2" borderId="17" xfId="0" applyFont="1" applyFill="1" applyBorder="1">
      <alignment vertical="center"/>
    </xf>
    <xf numFmtId="0" fontId="8" fillId="2" borderId="13" xfId="0" applyFont="1" applyFill="1" applyBorder="1">
      <alignment vertical="center"/>
    </xf>
    <xf numFmtId="0" fontId="8" fillId="2" borderId="18" xfId="0" applyFont="1" applyFill="1" applyBorder="1">
      <alignment vertical="center"/>
    </xf>
    <xf numFmtId="0" fontId="9" fillId="2" borderId="7" xfId="0" applyFont="1" applyFill="1" applyBorder="1" applyAlignment="1">
      <alignment horizontal="center" vertical="center" wrapText="1"/>
    </xf>
    <xf numFmtId="176" fontId="8" fillId="0" borderId="7" xfId="0" applyNumberFormat="1" applyFont="1" applyBorder="1" applyAlignment="1">
      <alignment horizontal="center" vertical="center"/>
    </xf>
    <xf numFmtId="176" fontId="8" fillId="0" borderId="8" xfId="0" applyNumberFormat="1" applyFont="1" applyBorder="1" applyAlignment="1">
      <alignment horizontal="center" vertical="center"/>
    </xf>
    <xf numFmtId="0" fontId="5" fillId="2" borderId="2" xfId="0" applyFont="1" applyFill="1" applyBorder="1">
      <alignment vertical="center"/>
    </xf>
    <xf numFmtId="0" fontId="8" fillId="0" borderId="7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176" fontId="28" fillId="0" borderId="7" xfId="0" applyNumberFormat="1" applyFont="1" applyBorder="1" applyAlignment="1">
      <alignment horizontal="center" vertical="center"/>
    </xf>
    <xf numFmtId="176" fontId="28" fillId="0" borderId="8" xfId="0" applyNumberFormat="1" applyFont="1" applyBorder="1" applyAlignment="1">
      <alignment horizontal="center" vertical="center"/>
    </xf>
    <xf numFmtId="178" fontId="8" fillId="0" borderId="7" xfId="0" applyNumberFormat="1" applyFont="1" applyBorder="1" applyAlignment="1">
      <alignment horizontal="center" vertical="center"/>
    </xf>
    <xf numFmtId="178" fontId="8" fillId="0" borderId="10" xfId="0" applyNumberFormat="1" applyFont="1" applyBorder="1" applyAlignment="1">
      <alignment horizontal="center" vertical="center"/>
    </xf>
    <xf numFmtId="178" fontId="8" fillId="0" borderId="6" xfId="0" applyNumberFormat="1" applyFont="1" applyBorder="1" applyAlignment="1">
      <alignment horizontal="center" vertical="center"/>
    </xf>
    <xf numFmtId="0" fontId="28" fillId="3" borderId="7" xfId="0" applyFont="1" applyFill="1" applyBorder="1" applyAlignment="1">
      <alignment horizontal="center" vertical="center"/>
    </xf>
    <xf numFmtId="0" fontId="28" fillId="3" borderId="10" xfId="0" applyFont="1" applyFill="1" applyBorder="1" applyAlignment="1">
      <alignment horizontal="center" vertical="center"/>
    </xf>
    <xf numFmtId="0" fontId="9" fillId="2" borderId="27" xfId="0" applyFont="1" applyFill="1" applyBorder="1" applyAlignment="1">
      <alignment horizontal="center" vertical="center"/>
    </xf>
    <xf numFmtId="0" fontId="9" fillId="2" borderId="29" xfId="0" applyFont="1" applyFill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176" fontId="8" fillId="0" borderId="27" xfId="0" applyNumberFormat="1" applyFont="1" applyBorder="1" applyAlignment="1">
      <alignment horizontal="center" vertical="center"/>
    </xf>
    <xf numFmtId="176" fontId="8" fillId="0" borderId="30" xfId="0" applyNumberFormat="1" applyFont="1" applyBorder="1" applyAlignment="1">
      <alignment horizontal="center" vertical="center"/>
    </xf>
    <xf numFmtId="0" fontId="9" fillId="2" borderId="21" xfId="0" applyFont="1" applyFill="1" applyBorder="1" applyAlignment="1">
      <alignment horizontal="center" vertical="center"/>
    </xf>
    <xf numFmtId="0" fontId="9" fillId="2" borderId="22" xfId="0" applyFont="1" applyFill="1" applyBorder="1" applyAlignment="1">
      <alignment horizontal="center" vertical="center"/>
    </xf>
    <xf numFmtId="0" fontId="9" fillId="2" borderId="23" xfId="0" applyFont="1" applyFill="1" applyBorder="1" applyAlignment="1">
      <alignment horizontal="center" vertical="center"/>
    </xf>
    <xf numFmtId="41" fontId="12" fillId="0" borderId="7" xfId="1" applyFont="1" applyBorder="1" applyAlignment="1">
      <alignment horizontal="center" vertical="center"/>
    </xf>
    <xf numFmtId="41" fontId="12" fillId="0" borderId="10" xfId="1" applyFont="1" applyBorder="1" applyAlignment="1">
      <alignment horizontal="center" vertical="center"/>
    </xf>
    <xf numFmtId="41" fontId="12" fillId="0" borderId="6" xfId="1" applyFont="1" applyBorder="1" applyAlignment="1">
      <alignment horizontal="center" vertical="center"/>
    </xf>
    <xf numFmtId="0" fontId="19" fillId="2" borderId="7" xfId="0" applyFont="1" applyFill="1" applyBorder="1" applyAlignment="1">
      <alignment horizontal="center" vertical="center"/>
    </xf>
    <xf numFmtId="0" fontId="19" fillId="2" borderId="6" xfId="0" applyFont="1" applyFill="1" applyBorder="1" applyAlignment="1">
      <alignment horizontal="center" vertical="center"/>
    </xf>
    <xf numFmtId="0" fontId="9" fillId="2" borderId="37" xfId="0" applyFont="1" applyFill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/>
    </xf>
    <xf numFmtId="178" fontId="20" fillId="0" borderId="7" xfId="0" applyNumberFormat="1" applyFont="1" applyBorder="1" applyAlignment="1">
      <alignment horizontal="center" vertical="center"/>
    </xf>
    <xf numFmtId="178" fontId="20" fillId="0" borderId="6" xfId="0" applyNumberFormat="1" applyFont="1" applyBorder="1" applyAlignment="1">
      <alignment horizontal="center" vertical="center"/>
    </xf>
    <xf numFmtId="0" fontId="9" fillId="2" borderId="34" xfId="0" applyFont="1" applyFill="1" applyBorder="1" applyAlignment="1">
      <alignment horizontal="center" vertical="center" wrapText="1"/>
    </xf>
    <xf numFmtId="0" fontId="9" fillId="2" borderId="35" xfId="0" applyFont="1" applyFill="1" applyBorder="1" applyAlignment="1">
      <alignment horizontal="center" vertical="center"/>
    </xf>
    <xf numFmtId="0" fontId="8" fillId="2" borderId="35" xfId="0" applyFont="1" applyFill="1" applyBorder="1">
      <alignment vertical="center"/>
    </xf>
    <xf numFmtId="0" fontId="8" fillId="2" borderId="36" xfId="0" applyFont="1" applyFill="1" applyBorder="1">
      <alignment vertical="center"/>
    </xf>
    <xf numFmtId="0" fontId="9" fillId="2" borderId="31" xfId="0" applyFont="1" applyFill="1" applyBorder="1" applyAlignment="1">
      <alignment horizontal="center" vertical="center"/>
    </xf>
    <xf numFmtId="0" fontId="9" fillId="2" borderId="32" xfId="0" applyFont="1" applyFill="1" applyBorder="1" applyAlignment="1">
      <alignment horizontal="center" vertical="center"/>
    </xf>
    <xf numFmtId="0" fontId="8" fillId="2" borderId="15" xfId="0" applyFont="1" applyFill="1" applyBorder="1">
      <alignment vertical="center"/>
    </xf>
    <xf numFmtId="0" fontId="8" fillId="2" borderId="33" xfId="0" applyFont="1" applyFill="1" applyBorder="1">
      <alignment vertical="center"/>
    </xf>
    <xf numFmtId="0" fontId="9" fillId="2" borderId="34" xfId="0" applyFont="1" applyFill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29" fillId="2" borderId="7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/>
    </xf>
    <xf numFmtId="0" fontId="28" fillId="0" borderId="7" xfId="0" applyFont="1" applyBorder="1" applyAlignment="1">
      <alignment horizontal="center" vertical="center"/>
    </xf>
    <xf numFmtId="0" fontId="28" fillId="0" borderId="8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 shrinkToFit="1"/>
    </xf>
    <xf numFmtId="0" fontId="9" fillId="2" borderId="6" xfId="0" applyFont="1" applyFill="1" applyBorder="1" applyAlignment="1">
      <alignment horizontal="center" vertical="center" shrinkToFit="1"/>
    </xf>
    <xf numFmtId="0" fontId="28" fillId="0" borderId="7" xfId="0" applyFont="1" applyBorder="1" applyAlignment="1">
      <alignment horizontal="center" vertical="center" shrinkToFit="1"/>
    </xf>
    <xf numFmtId="0" fontId="28" fillId="0" borderId="8" xfId="0" applyFont="1" applyBorder="1" applyAlignment="1">
      <alignment horizontal="center" vertical="center" shrinkToFit="1"/>
    </xf>
    <xf numFmtId="0" fontId="9" fillId="2" borderId="12" xfId="0" applyFont="1" applyFill="1" applyBorder="1" applyAlignment="1">
      <alignment horizontal="center" vertical="center" wrapText="1"/>
    </xf>
    <xf numFmtId="0" fontId="9" fillId="2" borderId="16" xfId="0" applyFont="1" applyFill="1" applyBorder="1" applyAlignment="1">
      <alignment horizontal="center" vertical="center" wrapText="1"/>
    </xf>
    <xf numFmtId="0" fontId="9" fillId="2" borderId="17" xfId="0" applyFont="1" applyFill="1" applyBorder="1" applyAlignment="1">
      <alignment horizontal="center" vertical="center" wrapText="1"/>
    </xf>
    <xf numFmtId="41" fontId="9" fillId="2" borderId="33" xfId="1" applyFont="1" applyFill="1" applyBorder="1" applyAlignment="1">
      <alignment horizontal="center" vertical="center"/>
    </xf>
    <xf numFmtId="177" fontId="8" fillId="0" borderId="7" xfId="1" applyNumberFormat="1" applyFont="1" applyBorder="1" applyAlignment="1">
      <alignment horizontal="center" vertical="center" shrinkToFit="1"/>
    </xf>
    <xf numFmtId="177" fontId="8" fillId="0" borderId="10" xfId="1" applyNumberFormat="1" applyFont="1" applyBorder="1" applyAlignment="1">
      <alignment horizontal="center" vertical="center" shrinkToFit="1"/>
    </xf>
    <xf numFmtId="177" fontId="8" fillId="0" borderId="8" xfId="1" applyNumberFormat="1" applyFont="1" applyBorder="1" applyAlignment="1">
      <alignment horizontal="center" vertical="center" shrinkToFit="1"/>
    </xf>
    <xf numFmtId="178" fontId="25" fillId="0" borderId="11" xfId="0" applyNumberFormat="1" applyFont="1" applyBorder="1" applyAlignment="1">
      <alignment horizontal="center" vertical="center"/>
    </xf>
    <xf numFmtId="178" fontId="25" fillId="0" borderId="13" xfId="0" applyNumberFormat="1" applyFont="1" applyBorder="1" applyAlignment="1">
      <alignment horizontal="center" vertical="center"/>
    </xf>
    <xf numFmtId="178" fontId="25" fillId="0" borderId="16" xfId="0" applyNumberFormat="1" applyFont="1" applyBorder="1" applyAlignment="1">
      <alignment horizontal="center" vertical="center"/>
    </xf>
    <xf numFmtId="178" fontId="25" fillId="0" borderId="18" xfId="0" applyNumberFormat="1" applyFont="1" applyBorder="1" applyAlignment="1">
      <alignment horizontal="center" vertical="center"/>
    </xf>
    <xf numFmtId="178" fontId="20" fillId="0" borderId="8" xfId="0" applyNumberFormat="1" applyFont="1" applyBorder="1" applyAlignment="1">
      <alignment horizontal="center" vertical="center"/>
    </xf>
    <xf numFmtId="0" fontId="23" fillId="2" borderId="21" xfId="0" applyFont="1" applyFill="1" applyBorder="1" applyAlignment="1">
      <alignment horizontal="center" vertical="center"/>
    </xf>
    <xf numFmtId="0" fontId="23" fillId="2" borderId="22" xfId="0" applyFont="1" applyFill="1" applyBorder="1" applyAlignment="1">
      <alignment horizontal="center" vertical="center"/>
    </xf>
    <xf numFmtId="0" fontId="23" fillId="2" borderId="23" xfId="0" applyFont="1" applyFill="1" applyBorder="1" applyAlignment="1">
      <alignment horizontal="center" vertical="center"/>
    </xf>
    <xf numFmtId="176" fontId="23" fillId="2" borderId="24" xfId="0" applyNumberFormat="1" applyFont="1" applyFill="1" applyBorder="1" applyAlignment="1">
      <alignment horizontal="right" vertical="center"/>
    </xf>
    <xf numFmtId="0" fontId="24" fillId="2" borderId="22" xfId="0" applyFont="1" applyFill="1" applyBorder="1">
      <alignment vertical="center"/>
    </xf>
    <xf numFmtId="178" fontId="23" fillId="2" borderId="24" xfId="0" applyNumberFormat="1" applyFont="1" applyFill="1" applyBorder="1" applyAlignment="1">
      <alignment horizontal="center" vertical="center"/>
    </xf>
    <xf numFmtId="178" fontId="23" fillId="2" borderId="25" xfId="0" applyNumberFormat="1" applyFont="1" applyFill="1" applyBorder="1" applyAlignment="1">
      <alignment horizontal="center" vertical="center"/>
    </xf>
    <xf numFmtId="0" fontId="19" fillId="2" borderId="34" xfId="0" applyFont="1" applyFill="1" applyBorder="1" applyAlignment="1">
      <alignment horizontal="center" vertical="center" wrapText="1"/>
    </xf>
    <xf numFmtId="0" fontId="20" fillId="2" borderId="35" xfId="0" applyFont="1" applyFill="1" applyBorder="1">
      <alignment vertical="center"/>
    </xf>
    <xf numFmtId="0" fontId="20" fillId="2" borderId="16" xfId="0" applyFont="1" applyFill="1" applyBorder="1">
      <alignment vertical="center"/>
    </xf>
    <xf numFmtId="0" fontId="20" fillId="2" borderId="17" xfId="0" applyFont="1" applyFill="1" applyBorder="1">
      <alignment vertical="center"/>
    </xf>
    <xf numFmtId="0" fontId="19" fillId="2" borderId="34" xfId="0" applyFont="1" applyFill="1" applyBorder="1" applyAlignment="1">
      <alignment horizontal="center" vertical="center"/>
    </xf>
    <xf numFmtId="0" fontId="19" fillId="2" borderId="36" xfId="0" applyFont="1" applyFill="1" applyBorder="1" applyAlignment="1">
      <alignment horizontal="center" vertical="center"/>
    </xf>
    <xf numFmtId="0" fontId="19" fillId="2" borderId="16" xfId="0" applyFont="1" applyFill="1" applyBorder="1" applyAlignment="1">
      <alignment horizontal="center" vertical="center"/>
    </xf>
    <xf numFmtId="0" fontId="19" fillId="2" borderId="18" xfId="0" applyFont="1" applyFill="1" applyBorder="1" applyAlignment="1">
      <alignment horizontal="center" vertical="center"/>
    </xf>
    <xf numFmtId="0" fontId="19" fillId="2" borderId="7" xfId="0" applyFont="1" applyFill="1" applyBorder="1" applyAlignment="1">
      <alignment horizontal="center" vertical="center" wrapText="1"/>
    </xf>
    <xf numFmtId="0" fontId="19" fillId="2" borderId="10" xfId="0" applyFont="1" applyFill="1" applyBorder="1" applyAlignment="1">
      <alignment horizontal="center" vertical="center" wrapText="1"/>
    </xf>
    <xf numFmtId="0" fontId="19" fillId="2" borderId="6" xfId="0" applyFont="1" applyFill="1" applyBorder="1" applyAlignment="1">
      <alignment horizontal="center" vertical="center" wrapText="1"/>
    </xf>
    <xf numFmtId="0" fontId="19" fillId="2" borderId="17" xfId="0" applyFont="1" applyFill="1" applyBorder="1" applyAlignment="1">
      <alignment horizontal="center" vertical="center"/>
    </xf>
    <xf numFmtId="0" fontId="19" fillId="2" borderId="31" xfId="0" applyFont="1" applyFill="1" applyBorder="1" applyAlignment="1">
      <alignment horizontal="center" vertical="center"/>
    </xf>
    <xf numFmtId="0" fontId="20" fillId="2" borderId="14" xfId="0" applyFont="1" applyFill="1" applyBorder="1">
      <alignment vertical="center"/>
    </xf>
    <xf numFmtId="0" fontId="19" fillId="2" borderId="32" xfId="0" applyFont="1" applyFill="1" applyBorder="1" applyAlignment="1">
      <alignment horizontal="center" vertical="center"/>
    </xf>
    <xf numFmtId="0" fontId="20" fillId="2" borderId="15" xfId="0" applyFont="1" applyFill="1" applyBorder="1">
      <alignment vertical="center"/>
    </xf>
    <xf numFmtId="0" fontId="19" fillId="2" borderId="3" xfId="0" applyFont="1" applyFill="1" applyBorder="1" applyAlignment="1">
      <alignment horizontal="center" vertical="center"/>
    </xf>
    <xf numFmtId="0" fontId="19" fillId="2" borderId="33" xfId="0" applyFont="1" applyFill="1" applyBorder="1" applyAlignment="1">
      <alignment horizontal="center" vertical="center"/>
    </xf>
    <xf numFmtId="0" fontId="19" fillId="2" borderId="2" xfId="0" applyFont="1" applyFill="1" applyBorder="1" applyAlignment="1">
      <alignment horizontal="center" vertical="center"/>
    </xf>
    <xf numFmtId="0" fontId="19" fillId="2" borderId="35" xfId="0" applyFont="1" applyFill="1" applyBorder="1" applyAlignment="1">
      <alignment horizontal="center" vertical="center"/>
    </xf>
  </cellXfs>
  <cellStyles count="5">
    <cellStyle name="쉼표 [0]" xfId="1" builtinId="6"/>
    <cellStyle name="쉼표 [0] 6 19" xfId="4" xr:uid="{00000000-0005-0000-0000-000001000000}"/>
    <cellStyle name="표준" xfId="0" builtinId="0"/>
    <cellStyle name="표준 2 2" xfId="2" xr:uid="{00000000-0005-0000-0000-000003000000}"/>
    <cellStyle name="표준 9 3" xfId="3" xr:uid="{00000000-0005-0000-0000-000004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4.xml"/><Relationship Id="rId18" Type="http://schemas.openxmlformats.org/officeDocument/2006/relationships/externalLink" Target="externalLinks/externalLink9.xml"/><Relationship Id="rId26" Type="http://schemas.openxmlformats.org/officeDocument/2006/relationships/externalLink" Target="externalLinks/externalLink17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2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externalLink" Target="externalLinks/externalLink8.xml"/><Relationship Id="rId25" Type="http://schemas.openxmlformats.org/officeDocument/2006/relationships/externalLink" Target="externalLinks/externalLink16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7.xml"/><Relationship Id="rId20" Type="http://schemas.openxmlformats.org/officeDocument/2006/relationships/externalLink" Target="externalLinks/externalLink11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24" Type="http://schemas.openxmlformats.org/officeDocument/2006/relationships/externalLink" Target="externalLinks/externalLink15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6.xml"/><Relationship Id="rId23" Type="http://schemas.openxmlformats.org/officeDocument/2006/relationships/externalLink" Target="externalLinks/externalLink14.xml"/><Relationship Id="rId28" Type="http://schemas.openxmlformats.org/officeDocument/2006/relationships/theme" Target="theme/theme1.xml"/><Relationship Id="rId10" Type="http://schemas.openxmlformats.org/officeDocument/2006/relationships/externalLink" Target="externalLinks/externalLink1.xml"/><Relationship Id="rId19" Type="http://schemas.openxmlformats.org/officeDocument/2006/relationships/externalLink" Target="externalLinks/externalLink10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5.xml"/><Relationship Id="rId22" Type="http://schemas.openxmlformats.org/officeDocument/2006/relationships/externalLink" Target="externalLinks/externalLink13.xml"/><Relationship Id="rId27" Type="http://schemas.openxmlformats.org/officeDocument/2006/relationships/externalLink" Target="externalLinks/externalLink18.xml"/><Relationship Id="rId30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ODY4TEAM7\&#44053;&#44552;&#44396;\!&#44049;&#47928;-~1\&#44277;&#48277;&#49436;\&#44277;&#51221;&#44277;&#48277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ODY2TEAM4\&#27888;&#32147;\&#52264;&#44592;2&#54016;\&#48149;&#44049;&#47928;\&#44277;&#48277;\&#44277;&#51221;&#44277;&#48277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ODY2TEAM4\&#27888;&#32147;\&#52264;&#44592;2&#54016;\&#44608;&#53468;&#44221;\&#44277;&#48277;\&#44277;&#51221;&#44277;&#48277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Startup" Target="DOCSXL70.X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980;&#51116;&#50672;\aproject\skec\TDI\BM\TDIBM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ODY2TEAM9\2&#51060;&#48393;&#51652;&#51088;&#47308;F\LHJ\98&#44228;&#54925;\&#48372;&#44256;&#51088;&#47308;\&#54872;&#44221;&#53804;&#51088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com\work\MY\RETAIN\&#50745;&#48317;&#51312;&#44552;&#49688;&#51221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5\&#54532;&#47196;&#51229;&#53944;\&#54532;&#47196;&#51229;&#53944;2004\&#50857;&#51064;&#49884;\&#53468;&#54217;\&#54224;&#44592;&#47932;&#45236;&#50669;&#49436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2003project\&#44221;&#44592;&#46020;\&#44284;&#52380;&#49884;\&#49352;&#49548;&#47581;&#44368;&#54924;\&#45236;&#50669;&#44288;&#47144;\&#45800;&#50948;&#49688;&#47049;&#49328;&#52636;&#49436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WINDOWS\Temporary%20Internet%20Files\Content.IE5\CHQTCWA7\_o270fo4e3ng8rrhohovg13ftp270q8a1m_.5)-95(1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3\fi3f\MSOFFICE\EXCEL\&#50641;&#49472;&#51088;&#47308;\&#50900;97&#45380;\12&#50900;\12&#50900;\97-1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2578\c\CHINA\PROJECT\CONTROL\CST_STAT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ODY2TEAM2\2&#48393;&#51652;\&#49888;&#46041;&#54872;\&#51665;&#54665;&#44228;&#54925;\ILY\&#54616;&#44592;&#51333;&#54633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nc\ENC_Data\&#47932;&#47448;&#50689;&#50629;%20&#48376;&#48512;\&#51312;&#44221;&#48176;\Project\&#54788;&#45824;&#51088;&#46041;&#52264;\&#49849;&#50857;&#46356;&#51236;\cb\&#49340;&#54868;&#51228;&#51648;\RACK&#47932;&#47049;(3)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ODY4TEAM5\&#44608;&#53468;&#51068;\&#44608;&#54840;&#53468;\SR-1&#53668;&#53944;\&#50896;&#44032;\&#53804;&#51088;&#48708;\&#50577;&#49885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PROGRAM%20FILES\ECHO\TMP\DATA\EXCEL\&#45824;&#48708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hwaind-my.sharepoint.com/&#50689;&#50629;/2012/8&#50900;~9&#50900;/LLC/&#45348;&#48260;&#50612;&#44176;&#49468;&#53552;/KIM/ILWIDAGA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hwaind-my.sharepoint.com/Users/HG/Desktop/&#50724;&#49328;&#47001;&#49444;&#48708;%20&#52384;&#44264;%20&#51088;&#51116;&#49548;&#50836;&#47049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711-2"/>
      <sheetName val="711-3"/>
      <sheetName val="711"/>
      <sheetName val="712"/>
      <sheetName val="vxxxxxxxxxxxxxxxxxxxxxxxx"/>
      <sheetName val="wxxxxxxxxxxxxxxxxxxxxxxxx"/>
      <sheetName val="xxxxxxxxxxxxxxxxxxxxxxxxx"/>
      <sheetName val="표지-향후"/>
      <sheetName val="변경사항FUP-향후"/>
      <sheetName val="목차-향후"/>
      <sheetName val="설비사양서C-향후"/>
      <sheetName val="공정별현황-향후"/>
      <sheetName val="MCP-L-O-향후"/>
      <sheetName val="TIME CHART-향후"/>
      <sheetName val="LWR-INR향후고려"/>
      <sheetName val="LWR-INR RESPOT향후"/>
      <sheetName val="LWR-OTR 향후"/>
      <sheetName val="LWR-ASSY-향후고려"/>
      <sheetName val="LWR-ASSY RESPOT향후차종"/>
      <sheetName val="KEY ASSY 향후차종"/>
      <sheetName val="KEY ASSY RESPOT향후"/>
      <sheetName val="장비&amp;작업자 향후"/>
      <sheetName val="안전&amp;작업설비-향후"/>
      <sheetName val="용접L -향후"/>
      <sheetName val="용접조건표-향후"/>
      <sheetName val="용접조건표-향후 (3)"/>
      <sheetName val="지우지말것-중요 (2)"/>
      <sheetName val="지우지말것-중요"/>
      <sheetName val="지우지말것"/>
      <sheetName val="내역"/>
    </sheetNames>
    <sheetDataSet>
      <sheetData sheetId="0" refreshError="1"/>
      <sheetData sheetId="1" refreshError="1"/>
      <sheetData sheetId="2"/>
      <sheetData sheetId="3" refreshError="1">
        <row r="62">
          <cell r="AC62" t="str">
            <v>710-22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712"/>
      <sheetName val="710-01"/>
      <sheetName val="710-02"/>
      <sheetName val="710"/>
      <sheetName val="711"/>
    </sheetNames>
    <sheetDataSet>
      <sheetData sheetId="0" refreshError="1">
        <row r="62">
          <cell r="AC62" t="str">
            <v>710-22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712"/>
      <sheetName val="710-01"/>
      <sheetName val="710-02"/>
      <sheetName val="710"/>
      <sheetName val="711"/>
    </sheetNames>
    <sheetDataSet>
      <sheetData sheetId="0" refreshError="1">
        <row r="62">
          <cell r="AC62" t="str">
            <v>710-22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CSXL70"/>
      <sheetName val="712"/>
      <sheetName val="Sheet1"/>
      <sheetName val="Sheet2"/>
      <sheetName val="Sheet3"/>
      <sheetName val="0000000000000000000000000"/>
      <sheetName val="ISAR RESULT"/>
      <sheetName val="APPEARANCE"/>
      <sheetName val="A"/>
      <sheetName val="B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BM"/>
      <sheetName val="DRUM"/>
      <sheetName val="표지"/>
      <sheetName val="Macro"/>
      <sheetName val="Tau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712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PILE  (돌출)"/>
      <sheetName val="오동"/>
      <sheetName val="대조"/>
      <sheetName val="나한"/>
      <sheetName val="부안일위"/>
      <sheetName val="샘플표지"/>
      <sheetName val="단위중량"/>
      <sheetName val="조명시설"/>
      <sheetName val="6PILE  _돌출_"/>
      <sheetName val="내역서"/>
      <sheetName val="공사비집계"/>
      <sheetName val="입찰안"/>
      <sheetName val="진주방향"/>
      <sheetName val="반응조"/>
      <sheetName val="갑지"/>
      <sheetName val="산출내역서"/>
      <sheetName val="실행철강하도"/>
      <sheetName val="소업1교"/>
      <sheetName val="3BL공동구 수량"/>
      <sheetName val="예가표"/>
      <sheetName val="날개벽(시점좌측)"/>
      <sheetName val="DATE"/>
      <sheetName val="일위대가"/>
      <sheetName val="금액내역서"/>
      <sheetName val="단면 (2)"/>
      <sheetName val="#REF"/>
      <sheetName val="가격조사서"/>
      <sheetName val="식재"/>
      <sheetName val="시설물"/>
      <sheetName val="식재출력용"/>
      <sheetName val="유지관리"/>
      <sheetName val="단가"/>
      <sheetName val="본선 토공 분배표"/>
      <sheetName val="연돌일위집계"/>
      <sheetName val="장비"/>
      <sheetName val="산근1"/>
      <sheetName val="노무"/>
      <sheetName val="자재"/>
      <sheetName val="터파기및재료"/>
      <sheetName val="가설건물"/>
      <sheetName val="참조"/>
      <sheetName val="사통"/>
      <sheetName val="물가시세"/>
      <sheetName val="노임단가"/>
      <sheetName val="토공 갑지"/>
      <sheetName val="Sheet1"/>
      <sheetName val="수지표"/>
      <sheetName val="셀명"/>
      <sheetName val="총괄"/>
      <sheetName val="하도내역 (철콘)"/>
      <sheetName val="SLAB&quot;1&quot;"/>
      <sheetName val="견적서(토공)"/>
      <sheetName val="간선계산"/>
      <sheetName val="Sheet1 (2)"/>
      <sheetName val="옹벽조금수정"/>
      <sheetName val="교각1"/>
      <sheetName val="D200"/>
      <sheetName val="2.단면가정 "/>
      <sheetName val="원형1호맨홀토공수량"/>
      <sheetName val="약품설비"/>
      <sheetName val="업무처리전"/>
      <sheetName val="배수내역(98년도분)"/>
      <sheetName val="약품공급2"/>
      <sheetName val="빗물받이(910-510-410)"/>
      <sheetName val="총 괄 표"/>
      <sheetName val="본부소개"/>
      <sheetName val="총괄내역서"/>
      <sheetName val="간접비"/>
      <sheetName val="4.2유효폭의 계산"/>
      <sheetName val="입찰"/>
      <sheetName val="현경"/>
      <sheetName val="당초"/>
      <sheetName val="U-TYPE(1)"/>
      <sheetName val="내역표지"/>
      <sheetName val="2호맨홀공제수량"/>
      <sheetName val="산마루측구단위수량"/>
      <sheetName val="견적의뢰서"/>
      <sheetName val="2000년1차"/>
      <sheetName val="2000전체분"/>
      <sheetName val="200"/>
      <sheetName val="경상비"/>
      <sheetName val="밸브설치"/>
      <sheetName val="일위대가목록"/>
      <sheetName val="목표세부명세"/>
      <sheetName val="교각계산"/>
      <sheetName val="포장공자재집계표"/>
      <sheetName val="간지(1)"/>
      <sheetName val="1,2,3,4,5단위수량"/>
      <sheetName val="SIL98"/>
      <sheetName val="bid"/>
      <sheetName val="발주설계서(당초)"/>
      <sheetName val="수안보-MBR1"/>
      <sheetName val="1. 설계조건 2.단면가정 3. 하중계산"/>
      <sheetName val="DATA 입력란"/>
      <sheetName val="인사자료총집계"/>
      <sheetName val="간 지1"/>
      <sheetName val="DATA2000"/>
      <sheetName val="해전배수"/>
      <sheetName val="수문일1"/>
      <sheetName val="결과조달"/>
      <sheetName val="원가"/>
      <sheetName val="실정보고"/>
      <sheetName val="갑지1"/>
      <sheetName val="포장물량집계"/>
      <sheetName val="DATA98"/>
      <sheetName val="Sheet2"/>
      <sheetName val="공사비증감"/>
      <sheetName val="ELECTRIC"/>
      <sheetName val="SCHEDULE"/>
      <sheetName val="세대구분"/>
      <sheetName val="공문"/>
      <sheetName val="COVER"/>
      <sheetName val="Sheet4"/>
      <sheetName val="1062-X방향 "/>
      <sheetName val="고창방향"/>
      <sheetName val="내역(전체)"/>
      <sheetName val="6PILE 과속방지턱집계표!$K$12 (돌출)"/>
      <sheetName val="일위대가(계측기설치)"/>
      <sheetName val="말뚝지지력산정"/>
      <sheetName val="기성내역"/>
      <sheetName val="공사내역"/>
      <sheetName val="실행"/>
      <sheetName val="안산기계장치"/>
      <sheetName val="수량3"/>
      <sheetName val="교각정보"/>
      <sheetName val="기기리스트"/>
      <sheetName val="배수관산출"/>
      <sheetName val="3.공통공사대비"/>
      <sheetName val="000000"/>
      <sheetName val="공사비증감(P4) "/>
      <sheetName val="수로집계"/>
      <sheetName val="TOWER 10TON"/>
      <sheetName val="TOWER 12TON"/>
      <sheetName val="설계조건"/>
      <sheetName val="제출내역 (2)"/>
      <sheetName val="내역"/>
      <sheetName val="1호맨홀토공"/>
      <sheetName val="일위(PN)"/>
      <sheetName val="집계표(육상)"/>
      <sheetName val="지급자재"/>
      <sheetName val="8.PILE  (돌출)"/>
      <sheetName val="일위대가목차"/>
      <sheetName val="1TL종점(1)"/>
      <sheetName val="토목품셈"/>
      <sheetName val="PAD TR보호대기초"/>
      <sheetName val="가로등기초"/>
      <sheetName val="HANDHOLE(2)"/>
      <sheetName val="시행후면적"/>
      <sheetName val="ABUT수량-A1"/>
      <sheetName val="우수받이재료집계표"/>
      <sheetName val="가도공"/>
      <sheetName val="6PILE+옹벽집계!$G$6+옹벽집계!$H$10  (돌출"/>
      <sheetName val="수량집계"/>
      <sheetName val="교대(A1-A2)"/>
      <sheetName val="설비"/>
      <sheetName val="슬래브"/>
      <sheetName val="최적단면"/>
      <sheetName val="INPUT"/>
      <sheetName val="유림골조"/>
      <sheetName val="산출근거"/>
      <sheetName val="대비"/>
      <sheetName val="실행예산"/>
      <sheetName val="9509"/>
      <sheetName val="CTEMCOST"/>
      <sheetName val="합천내역"/>
      <sheetName val="F-302"/>
      <sheetName val="F301.303"/>
      <sheetName val="plan&amp;section of foundation"/>
      <sheetName val="design load"/>
      <sheetName val="working load at the btm ft."/>
      <sheetName val="stability check"/>
      <sheetName val="design criteria"/>
      <sheetName val="산근"/>
      <sheetName val="D-3109"/>
      <sheetName val="Total"/>
      <sheetName val="대비표"/>
      <sheetName val="inter"/>
      <sheetName val="B"/>
      <sheetName val="PROCURE"/>
      <sheetName val="out_prog"/>
      <sheetName val="선적schedule (2)"/>
      <sheetName val="DRUM"/>
      <sheetName val="횡배날개"/>
      <sheetName val="2공구산출내역"/>
      <sheetName val="CAL(1)."/>
      <sheetName val="12CGOU"/>
      <sheetName val="Bend_fact "/>
      <sheetName val="요약배부"/>
      <sheetName val="주관사업"/>
      <sheetName val="STAFF ANALYSIS"/>
      <sheetName val="C"/>
      <sheetName val="AN-01"/>
      <sheetName val="PRICES"/>
      <sheetName val="골조시행"/>
      <sheetName val="예상"/>
      <sheetName val="집계표"/>
      <sheetName val="수문보고"/>
      <sheetName val="할증 "/>
      <sheetName val="배수내역"/>
      <sheetName val="수량산출내역1115"/>
      <sheetName val="BOX 본체"/>
      <sheetName val="단면A-A(TR)"/>
      <sheetName val="Basic"/>
      <sheetName val="D"/>
      <sheetName val="L"/>
      <sheetName val="M"/>
      <sheetName val="Part AB"/>
      <sheetName val="Part I"/>
      <sheetName val="Part M"/>
      <sheetName val="S"/>
      <sheetName val="E"/>
      <sheetName val="Resource"/>
      <sheetName val="Exrate"/>
      <sheetName val="40단가산출서"/>
      <sheetName val="40집계"/>
      <sheetName val="1NYS(당)"/>
      <sheetName val="프랜트면허"/>
      <sheetName val="토목주소"/>
      <sheetName val="archi(본사)"/>
      <sheetName val="6PILE__(돌출)"/>
      <sheetName val="주식"/>
      <sheetName val="견적서"/>
      <sheetName val="도봉2지구"/>
      <sheetName val="비목군분류일위"/>
      <sheetName val="산근터빈"/>
      <sheetName val="메서,변+증"/>
      <sheetName val="식생블럭단위수량"/>
      <sheetName val="갑지(추정)"/>
      <sheetName val="공량산출서"/>
      <sheetName val="공종단가"/>
      <sheetName val="노무비"/>
      <sheetName val="EQUIP"/>
      <sheetName val="부하(성남)"/>
      <sheetName val="SG"/>
      <sheetName val="Quantity"/>
      <sheetName val="Sheet15"/>
      <sheetName val="정보"/>
      <sheetName val="합의경상"/>
      <sheetName val="TOTAL_BOQ"/>
      <sheetName val="배수통관(좌)"/>
      <sheetName val="단가일람"/>
      <sheetName val="조경일람"/>
      <sheetName val="S.중기사용료"/>
      <sheetName val="97노임단가"/>
      <sheetName val="입력란"/>
      <sheetName val="칠산대교 중앙부"/>
      <sheetName val="칠산대교 시종점부"/>
      <sheetName val="신당동집계표"/>
      <sheetName val="공통비총괄표"/>
      <sheetName val="전차선로 물량표"/>
      <sheetName val="뚝토공"/>
      <sheetName val="DATA입력"/>
      <sheetName val="수량명세서"/>
      <sheetName val="BOX(1.5X1.5)"/>
      <sheetName val="도배공사언고"/>
      <sheetName val="수량산출"/>
      <sheetName val="COPING"/>
      <sheetName val="단면B-B(EA)"/>
      <sheetName val="역T형"/>
      <sheetName val="인건비"/>
      <sheetName val="4)유동표"/>
      <sheetName val="1.설계조건"/>
      <sheetName val="6PILE  _돌_x001c__"/>
      <sheetName val="비탈면보호공수량산출"/>
      <sheetName val="자료"/>
      <sheetName val="BOX"/>
      <sheetName val="관로토공집계표"/>
      <sheetName val="기자재비"/>
      <sheetName val="기본"/>
      <sheetName val="돌담교 상부수량"/>
      <sheetName val="단위수량"/>
      <sheetName val="우수받이"/>
      <sheetName val="공사비예산서(토목분)"/>
      <sheetName val="20-6(L)"/>
      <sheetName val="관로조사공"/>
      <sheetName val="본선차로수량집계표"/>
      <sheetName val="사유서제출현황-2"/>
      <sheetName val="현장관리비"/>
      <sheetName val="계산근거"/>
      <sheetName val="woo(mac)"/>
      <sheetName val="침하계"/>
      <sheetName val="ASP 일반구간_250A"/>
      <sheetName val="기계경비일람"/>
      <sheetName val="단가산출서"/>
      <sheetName val="3BL공동구_수량"/>
      <sheetName val="토공_갑지"/>
      <sheetName val="6PILE___돌출_"/>
      <sheetName val="F301_303"/>
      <sheetName val="plan&amp;section_of_foundation"/>
      <sheetName val="design_load"/>
      <sheetName val="working_load_at_the_btm_ft_"/>
      <sheetName val="stability_check"/>
      <sheetName val="design_criteria"/>
      <sheetName val="2_단면가정_"/>
      <sheetName val="CAL(1)_"/>
      <sheetName val="Bend_fact_"/>
      <sheetName val="STAFF_ANALYSIS"/>
      <sheetName val="하도내역_(철콘)"/>
      <sheetName val="Sheet1_(2)"/>
      <sheetName val="총_괄_표"/>
      <sheetName val="BQMPALOC"/>
      <sheetName val="Cash2"/>
      <sheetName val="Z"/>
      <sheetName val="DAILY"/>
      <sheetName val="01.견적내역서"/>
      <sheetName val="3.하중산정4.지지력"/>
      <sheetName val="단가조사"/>
      <sheetName val="40총괄"/>
      <sheetName val="민자토목설변1차"/>
      <sheetName val="차액보증"/>
      <sheetName val="2000시행예상"/>
      <sheetName val="YES-T"/>
      <sheetName val="견적대비표"/>
      <sheetName val="2.교량(신설)"/>
      <sheetName val="2002상반기노임기준"/>
      <sheetName val="본체"/>
      <sheetName val="I.설계조건"/>
      <sheetName val="Sheet3"/>
      <sheetName val="대,유,램"/>
      <sheetName val="경영상태"/>
      <sheetName val="허용지지력"/>
      <sheetName val="Output"/>
      <sheetName val="01.인원현황 (계획)"/>
      <sheetName val="J형측구단위수량"/>
      <sheetName val="소산진입"/>
      <sheetName val="가옥철거"/>
      <sheetName val="격점수량"/>
      <sheetName val="일반수량"/>
      <sheetName val="방음벽기초"/>
      <sheetName val="기초일위"/>
      <sheetName val="수목단가"/>
      <sheetName val="시설수량표"/>
      <sheetName val="시설일위"/>
      <sheetName val="식재수량표"/>
      <sheetName val="식재일위"/>
      <sheetName val="일위목록"/>
      <sheetName val="자재단가"/>
      <sheetName val="대로근거"/>
      <sheetName val="중로근거"/>
      <sheetName val="★도급내역"/>
      <sheetName val="대림경상68억"/>
      <sheetName val="제직재"/>
      <sheetName val="설직재-1"/>
      <sheetName val="제-노임"/>
      <sheetName val="직노"/>
      <sheetName val="건축물터파기"/>
      <sheetName val="마감사양"/>
      <sheetName val="지장물C"/>
      <sheetName val="토공계산서(부체도로)"/>
      <sheetName val="DATA"/>
      <sheetName val="건축내역서"/>
      <sheetName val="설비내역서"/>
      <sheetName val="전기내역서"/>
      <sheetName val="토사(PE)"/>
      <sheetName val="바닥판"/>
      <sheetName val="수지예산"/>
      <sheetName val="코드표"/>
      <sheetName val="토목"/>
      <sheetName val="기계(집계표)"/>
      <sheetName val="지하"/>
      <sheetName val="guard(mac)"/>
      <sheetName val="부대토목"/>
      <sheetName val="수량산출서"/>
      <sheetName val="갑지(집행)"/>
      <sheetName val="음봉방향"/>
      <sheetName val="집수정"/>
      <sheetName val="수입"/>
      <sheetName val="대부예산서"/>
      <sheetName val="기초공"/>
      <sheetName val="기둥(원형)"/>
      <sheetName val="부대공"/>
      <sheetName val="토공"/>
      <sheetName val="포장공"/>
      <sheetName val="CIVIL4"/>
      <sheetName val="3련 BOX"/>
      <sheetName val="대운산출"/>
      <sheetName val="골재및자재집계표"/>
      <sheetName val="정부노임단가"/>
      <sheetName val="철근량"/>
      <sheetName val="배수공"/>
      <sheetName val="간지"/>
      <sheetName val="연습"/>
      <sheetName val="산출근거(S4)"/>
      <sheetName val="1을"/>
      <sheetName val="1.수인터널"/>
      <sheetName val="데리네이타현황"/>
      <sheetName val="당초내역서"/>
      <sheetName val="6월인원"/>
      <sheetName val="신표지1"/>
      <sheetName val="수량집계표"/>
      <sheetName val="type-F"/>
      <sheetName val="BOX-1510"/>
      <sheetName val="을 2"/>
      <sheetName val="을 1"/>
      <sheetName val="손익분석"/>
      <sheetName val="2.단면가정"/>
      <sheetName val="소비자가"/>
      <sheetName val="낙찰표"/>
      <sheetName val="교통표지판수량집계표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설계표"/>
      <sheetName val="내역서"/>
      <sheetName val="폐기물기초"/>
      <sheetName val="폐기물공"/>
      <sheetName val="철거물량집계표"/>
      <sheetName val="터파기및재료"/>
      <sheetName val="6PILE  (돌출)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간지 "/>
      <sheetName val="마사토포장"/>
      <sheetName val="자연석답석놓기"/>
      <sheetName val="징검다리"/>
      <sheetName val="징검다리(2)"/>
      <sheetName val="목재계단"/>
      <sheetName val="팔각정자"/>
      <sheetName val="등의자"/>
      <sheetName val="목재데크"/>
      <sheetName val="목재데크기초"/>
      <sheetName val="안내판"/>
      <sheetName val="삼발이대형 (2)"/>
      <sheetName val="자재단가비교표"/>
      <sheetName val="6PILE  (돌출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갑지"/>
      <sheetName val="실행내역"/>
      <sheetName val="내역갑지"/>
      <sheetName val="정산내역"/>
      <sheetName val="품셈총괄표"/>
      <sheetName val="총괄"/>
      <sheetName val="공문"/>
      <sheetName val="G2설비도급"/>
      <sheetName val="연습"/>
      <sheetName val="FAB별"/>
      <sheetName val="건설실행"/>
      <sheetName val="업무"/>
      <sheetName val="SPEC"/>
      <sheetName val="기초분물량표"/>
      <sheetName val="Sheet5"/>
      <sheetName val="TYPE-A"/>
      <sheetName val="FORM-0"/>
      <sheetName val="경비"/>
      <sheetName val="inter"/>
      <sheetName val="내역서"/>
      <sheetName val="NEGO"/>
      <sheetName val="금액내역서"/>
      <sheetName val="경제성분석"/>
      <sheetName val="#REF"/>
      <sheetName val="공정집계_국별"/>
      <sheetName val="노임단가"/>
      <sheetName val="노임9월"/>
      <sheetName val="DATE"/>
      <sheetName val="CAT_5"/>
      <sheetName val="float&amp;bear"/>
      <sheetName val="Kfracture"/>
      <sheetName val="실행비교"/>
      <sheetName val="CONCRETE"/>
      <sheetName val="bldg list"/>
      <sheetName val="_o270fo4e3ng8rrhohovg13ftp270q8"/>
      <sheetName val="입찰안"/>
      <sheetName val="음료실행"/>
      <sheetName val="물량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업무계획1"/>
      <sheetName val="xxxxxx"/>
      <sheetName val="기안"/>
      <sheetName val="1월"/>
      <sheetName val="Sheet1"/>
      <sheetName val="Sheet1 (2)"/>
      <sheetName val="Sheet2"/>
      <sheetName val="Sheet3"/>
      <sheetName val="#REF"/>
      <sheetName val="5대총괄"/>
      <sheetName val="주간기성"/>
      <sheetName val="인원현황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 refreshError="1"/>
      <sheetData sheetId="1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FIT"/>
      <sheetName val="P-L"/>
      <sheetName val="BUDg"/>
      <sheetName val="예산"/>
      <sheetName val="FAS"/>
      <sheetName val="FCST"/>
      <sheetName val="M_H"/>
      <sheetName val="F_MONY"/>
      <sheetName val="환보고"/>
      <sheetName val="환자료"/>
      <sheetName val="inter"/>
      <sheetName val="노무비(MM)"/>
      <sheetName val="노무비(비용)"/>
      <sheetName val="공사비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odule1"/>
      <sheetName val="Module2"/>
      <sheetName val="Module3"/>
      <sheetName val="INST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안"/>
      <sheetName val="list price"/>
    </sheetNames>
    <sheetDataSet>
      <sheetData sheetId="0"/>
      <sheetData sheetId="1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XXXXXX"/>
      <sheetName val="단면"/>
      <sheetName val="사양입력"/>
      <sheetName val="RACK"/>
      <sheetName val="토목건축"/>
      <sheetName val="결과"/>
      <sheetName val="6-1"/>
      <sheetName val="6-2"/>
      <sheetName val="flange"/>
      <sheetName val="자재사양"/>
      <sheetName val="비교"/>
      <sheetName val="운반물량"/>
      <sheetName val="견적범위"/>
      <sheetName val="내역"/>
      <sheetName val="기안"/>
    </sheetNames>
    <sheetDataSet>
      <sheetData sheetId="0" refreshError="1"/>
      <sheetData sheetId="1" refreshError="1"/>
      <sheetData sheetId="2">
        <row r="4">
          <cell r="D4" t="str">
            <v>RackBuilding</v>
          </cell>
        </row>
        <row r="5">
          <cell r="D5" t="str">
            <v>Single</v>
          </cell>
        </row>
        <row r="6">
          <cell r="D6" t="str">
            <v>2*Side_End</v>
          </cell>
        </row>
        <row r="11">
          <cell r="C11">
            <v>16</v>
          </cell>
        </row>
        <row r="12">
          <cell r="C12">
            <v>90</v>
          </cell>
        </row>
        <row r="13">
          <cell r="C13">
            <v>9</v>
          </cell>
        </row>
        <row r="14">
          <cell r="C14">
            <v>800</v>
          </cell>
        </row>
        <row r="18">
          <cell r="C18">
            <v>2360</v>
          </cell>
        </row>
        <row r="19">
          <cell r="C19">
            <v>1050</v>
          </cell>
        </row>
        <row r="20">
          <cell r="C20">
            <v>1350</v>
          </cell>
        </row>
        <row r="21">
          <cell r="C21">
            <v>120</v>
          </cell>
        </row>
        <row r="24">
          <cell r="C24">
            <v>350</v>
          </cell>
        </row>
        <row r="25">
          <cell r="C25">
            <v>350</v>
          </cell>
        </row>
        <row r="26">
          <cell r="C26">
            <v>3500</v>
          </cell>
        </row>
        <row r="27">
          <cell r="C27">
            <v>1800</v>
          </cell>
        </row>
        <row r="28">
          <cell r="C28">
            <v>6250</v>
          </cell>
        </row>
        <row r="29">
          <cell r="C29">
            <v>2250</v>
          </cell>
        </row>
        <row r="39">
          <cell r="C39">
            <v>9</v>
          </cell>
        </row>
        <row r="40">
          <cell r="C40">
            <v>100</v>
          </cell>
        </row>
        <row r="41">
          <cell r="C41">
            <v>3000</v>
          </cell>
        </row>
        <row r="42">
          <cell r="C42">
            <v>8</v>
          </cell>
        </row>
        <row r="47">
          <cell r="C47">
            <v>9000</v>
          </cell>
        </row>
        <row r="48">
          <cell r="C48">
            <v>9000</v>
          </cell>
        </row>
        <row r="49">
          <cell r="C49">
            <v>6000</v>
          </cell>
        </row>
        <row r="50">
          <cell r="C50">
            <v>4000</v>
          </cell>
        </row>
        <row r="51">
          <cell r="C51">
            <v>1500</v>
          </cell>
        </row>
        <row r="57">
          <cell r="C57">
            <v>500</v>
          </cell>
        </row>
      </sheetData>
      <sheetData sheetId="3"/>
      <sheetData sheetId="4" refreshError="1"/>
      <sheetData sheetId="5" refreshError="1">
        <row r="26">
          <cell r="B26" t="str">
            <v>4set/Post</v>
          </cell>
        </row>
      </sheetData>
      <sheetData sheetId="6" refreshError="1"/>
      <sheetData sheetId="7" refreshError="1"/>
      <sheetData sheetId="8" refreshError="1"/>
      <sheetData sheetId="9" refreshError="1">
        <row r="4">
          <cell r="U4" t="str">
            <v>SqPipe단중</v>
          </cell>
        </row>
        <row r="5">
          <cell r="D5" t="str">
            <v>ㅁ40*40*1.6t</v>
          </cell>
          <cell r="U5">
            <v>1.88</v>
          </cell>
        </row>
        <row r="6">
          <cell r="D6" t="str">
            <v>ㅁ40*40*2.3t</v>
          </cell>
          <cell r="U6">
            <v>2.62</v>
          </cell>
        </row>
        <row r="7">
          <cell r="D7" t="str">
            <v>ㅁ40*40*2.9t</v>
          </cell>
          <cell r="U7">
            <v>3.21</v>
          </cell>
        </row>
        <row r="8">
          <cell r="D8" t="str">
            <v>ㅁ50*20*2.3t</v>
          </cell>
          <cell r="U8">
            <v>2.3025541500000002</v>
          </cell>
        </row>
        <row r="9">
          <cell r="D9" t="str">
            <v>ㅁ50*30*1.4t</v>
          </cell>
          <cell r="U9">
            <v>1.65</v>
          </cell>
        </row>
        <row r="10">
          <cell r="D10" t="str">
            <v>ㅁ50*50*1.4t</v>
          </cell>
          <cell r="U10">
            <v>2.1</v>
          </cell>
        </row>
        <row r="11">
          <cell r="D11" t="str">
            <v>ㅁ50*50*1.6t</v>
          </cell>
          <cell r="U11">
            <v>2.38</v>
          </cell>
        </row>
        <row r="12">
          <cell r="D12" t="str">
            <v>ㅁ50*50*2.3t</v>
          </cell>
          <cell r="U12">
            <v>3.34</v>
          </cell>
        </row>
        <row r="13">
          <cell r="D13" t="str">
            <v>ㅁ60*40*2.3t</v>
          </cell>
          <cell r="U13">
            <v>3.3587716500000013</v>
          </cell>
        </row>
        <row r="14">
          <cell r="D14" t="str">
            <v>ㅁ60*40*2.9t</v>
          </cell>
          <cell r="U14">
            <v>4.12</v>
          </cell>
        </row>
        <row r="15">
          <cell r="D15" t="str">
            <v>ㅁ60*40*3.2t</v>
          </cell>
          <cell r="U15">
            <v>4.5</v>
          </cell>
        </row>
        <row r="16">
          <cell r="D16" t="str">
            <v>ㅁ60*60*2.3t</v>
          </cell>
          <cell r="U16">
            <v>4.0599999999999996</v>
          </cell>
        </row>
        <row r="17">
          <cell r="D17" t="str">
            <v>ㅁ60*60*2.9t</v>
          </cell>
          <cell r="U17">
            <v>5.03</v>
          </cell>
        </row>
        <row r="18">
          <cell r="D18" t="str">
            <v>ㅁ60*60*3.2t</v>
          </cell>
          <cell r="U18">
            <v>5.5</v>
          </cell>
        </row>
        <row r="19">
          <cell r="D19" t="str">
            <v>ㅁ75*50*1.4t</v>
          </cell>
          <cell r="U19">
            <v>2.5299999999999998</v>
          </cell>
        </row>
        <row r="20">
          <cell r="D20" t="str">
            <v>ㅁ75*50*1.6t</v>
          </cell>
          <cell r="U20">
            <v>2.88</v>
          </cell>
        </row>
        <row r="21">
          <cell r="D21" t="str">
            <v>ㅁ75*50*2.3t</v>
          </cell>
          <cell r="U21">
            <v>4.24</v>
          </cell>
        </row>
        <row r="22">
          <cell r="D22" t="str">
            <v>ㅁ75*50*2.9t</v>
          </cell>
          <cell r="U22">
            <v>5.26</v>
          </cell>
        </row>
        <row r="23">
          <cell r="D23" t="str">
            <v>ㅁ75*50*3.2t</v>
          </cell>
          <cell r="U23">
            <v>5.75</v>
          </cell>
        </row>
        <row r="24">
          <cell r="D24" t="str">
            <v>ㅁ75*75*1.4t</v>
          </cell>
          <cell r="U24">
            <v>3.2</v>
          </cell>
        </row>
        <row r="25">
          <cell r="D25" t="str">
            <v>ㅁ75*75*1.6t</v>
          </cell>
          <cell r="U25">
            <v>3.5954256000000018</v>
          </cell>
        </row>
        <row r="26">
          <cell r="D26" t="str">
            <v>ㅁ75*75*2.3t</v>
          </cell>
          <cell r="U26">
            <v>5.1191341499999945</v>
          </cell>
        </row>
        <row r="27">
          <cell r="D27" t="str">
            <v>ㅁ75*75*2.9t</v>
          </cell>
          <cell r="U27">
            <v>6.4012903499999965</v>
          </cell>
        </row>
        <row r="28">
          <cell r="D28" t="str">
            <v>ㅁ75*75*3.2t</v>
          </cell>
          <cell r="U28">
            <v>7.0341024000000063</v>
          </cell>
        </row>
        <row r="29">
          <cell r="D29" t="str">
            <v>ㅁ100*50*1.6t</v>
          </cell>
          <cell r="U29">
            <v>3.63</v>
          </cell>
        </row>
        <row r="30">
          <cell r="D30" t="str">
            <v>ㅁ100*50*2.3t</v>
          </cell>
          <cell r="U30">
            <v>5.14</v>
          </cell>
        </row>
        <row r="31">
          <cell r="D31" t="str">
            <v>ㅁ100*50*2.9t</v>
          </cell>
          <cell r="U31">
            <v>6.4</v>
          </cell>
        </row>
        <row r="32">
          <cell r="D32" t="str">
            <v>ㅁ100*50*3.2t</v>
          </cell>
          <cell r="U32">
            <v>7.01</v>
          </cell>
        </row>
        <row r="33">
          <cell r="D33" t="str">
            <v>ㅁ100*75*2.3t</v>
          </cell>
          <cell r="U33">
            <v>6.05</v>
          </cell>
        </row>
        <row r="34">
          <cell r="D34" t="str">
            <v>ㅁ100*100*2.3t</v>
          </cell>
          <cell r="U34">
            <v>6.8794966499999859</v>
          </cell>
        </row>
        <row r="35">
          <cell r="D35" t="str">
            <v>ㅁ100*100*2.9t</v>
          </cell>
          <cell r="U35">
            <v>8.67</v>
          </cell>
        </row>
        <row r="36">
          <cell r="D36" t="str">
            <v>ㅁ100*100*3.2t</v>
          </cell>
          <cell r="U36">
            <v>9.4833024000000048</v>
          </cell>
        </row>
        <row r="37">
          <cell r="D37" t="str">
            <v>ㅁ100*100*4t</v>
          </cell>
          <cell r="U37">
            <v>11.756159999999999</v>
          </cell>
        </row>
        <row r="38">
          <cell r="D38" t="str">
            <v>ㅁ100*100*4.3t</v>
          </cell>
          <cell r="U38">
            <v>12.598378649999992</v>
          </cell>
        </row>
        <row r="39">
          <cell r="D39" t="str">
            <v>ㅁ125*50*2.9t</v>
          </cell>
          <cell r="U39">
            <v>7.53</v>
          </cell>
        </row>
        <row r="40">
          <cell r="D40" t="str">
            <v>ㅁ125*50*3.2t</v>
          </cell>
          <cell r="U40">
            <v>8.26</v>
          </cell>
        </row>
        <row r="41">
          <cell r="D41" t="str">
            <v>ㅁ125*75*2.3t</v>
          </cell>
          <cell r="U41">
            <v>6.95</v>
          </cell>
        </row>
        <row r="43">
          <cell r="U43" t="str">
            <v>RouPipe단중</v>
          </cell>
        </row>
        <row r="44">
          <cell r="D44" t="str">
            <v>Φ 21.7*2t</v>
          </cell>
          <cell r="U44">
            <v>0.97182999999999997</v>
          </cell>
        </row>
        <row r="45">
          <cell r="D45" t="str">
            <v>Φ 27.2*2t</v>
          </cell>
          <cell r="U45">
            <v>1.2426550000000001</v>
          </cell>
        </row>
        <row r="46">
          <cell r="D46" t="str">
            <v>Φ 27.2*2.3t</v>
          </cell>
          <cell r="U46">
            <v>1.412215</v>
          </cell>
        </row>
        <row r="47">
          <cell r="D47" t="str">
            <v>Φ 34*2.3t</v>
          </cell>
          <cell r="U47">
            <v>1.798435</v>
          </cell>
        </row>
        <row r="48">
          <cell r="D48" t="str">
            <v>Φ 42.7*2.3t</v>
          </cell>
          <cell r="U48">
            <v>2.2914150000000002</v>
          </cell>
        </row>
        <row r="49">
          <cell r="D49" t="str">
            <v>Φ 42.7*2.8t</v>
          </cell>
          <cell r="U49">
            <v>2.75535</v>
          </cell>
        </row>
        <row r="50">
          <cell r="D50" t="str">
            <v>Φ 48.6*2.3t</v>
          </cell>
          <cell r="U50">
            <v>2.6258250000000003</v>
          </cell>
        </row>
        <row r="51">
          <cell r="D51" t="str">
            <v>Φ 48.6*2.8t</v>
          </cell>
          <cell r="U51">
            <v>3.1627650000000003</v>
          </cell>
        </row>
        <row r="52">
          <cell r="D52" t="str">
            <v>Φ 48.6*3.2t</v>
          </cell>
          <cell r="U52">
            <v>3.5827399999999998</v>
          </cell>
        </row>
        <row r="53">
          <cell r="D53" t="str">
            <v>Φ 60.5*2.3t</v>
          </cell>
          <cell r="U53">
            <v>3.3009250000000003</v>
          </cell>
        </row>
        <row r="54">
          <cell r="D54" t="str">
            <v>Φ 60.5*3.2t</v>
          </cell>
          <cell r="U54">
            <v>4.5215999999999994</v>
          </cell>
        </row>
        <row r="55">
          <cell r="D55" t="str">
            <v>Φ 60.5*4t</v>
          </cell>
          <cell r="U55">
            <v>5.5734999999999992</v>
          </cell>
        </row>
        <row r="56">
          <cell r="D56" t="str">
            <v>Φ 76.3*2.8t</v>
          </cell>
          <cell r="U56">
            <v>5.0750250000000001</v>
          </cell>
        </row>
        <row r="57">
          <cell r="D57" t="str">
            <v>Φ 76.3*3.2t</v>
          </cell>
          <cell r="U57">
            <v>5.7689650000000006</v>
          </cell>
        </row>
        <row r="58">
          <cell r="D58" t="str">
            <v>Φ 76.3*4t</v>
          </cell>
          <cell r="U58">
            <v>7.1317250000000003</v>
          </cell>
        </row>
        <row r="59">
          <cell r="D59" t="str">
            <v>Φ 89.1*2.8t</v>
          </cell>
          <cell r="U59">
            <v>5.9589350000000003</v>
          </cell>
        </row>
        <row r="60">
          <cell r="D60" t="str">
            <v>Φ 89.1*3.2t</v>
          </cell>
          <cell r="U60">
            <v>6.7792599999999998</v>
          </cell>
        </row>
        <row r="61">
          <cell r="D61" t="str">
            <v>Φ 89.1*4t</v>
          </cell>
          <cell r="U61">
            <v>8.3916500000000003</v>
          </cell>
        </row>
        <row r="62">
          <cell r="D62" t="str">
            <v>Φ 101.6*3.2t</v>
          </cell>
          <cell r="U62">
            <v>7.7652199999999993</v>
          </cell>
        </row>
        <row r="63">
          <cell r="D63" t="str">
            <v>Φ 101.6*4t</v>
          </cell>
          <cell r="U63">
            <v>9.6241000000000003</v>
          </cell>
        </row>
        <row r="64">
          <cell r="D64" t="str">
            <v>Φ 101.6*5t</v>
          </cell>
          <cell r="U64">
            <v>11.90845</v>
          </cell>
        </row>
        <row r="65">
          <cell r="D65" t="str">
            <v>Φ 114.3*3.2t</v>
          </cell>
          <cell r="U65">
            <v>8.7684499999999996</v>
          </cell>
        </row>
        <row r="66">
          <cell r="D66" t="str">
            <v>Φ 114.3*3.6t</v>
          </cell>
          <cell r="U66">
            <v>9.8282000000000007</v>
          </cell>
        </row>
        <row r="67">
          <cell r="D67" t="str">
            <v>Φ 114.3*4.5t</v>
          </cell>
          <cell r="U67">
            <v>12.183199999999999</v>
          </cell>
        </row>
        <row r="68">
          <cell r="D68" t="str">
            <v>Φ 114.3*5.6t</v>
          </cell>
          <cell r="U68">
            <v>15.009200000000002</v>
          </cell>
        </row>
        <row r="69">
          <cell r="D69" t="str">
            <v>Φ 139.8*3.6t</v>
          </cell>
          <cell r="U69">
            <v>12.089</v>
          </cell>
        </row>
        <row r="70">
          <cell r="D70" t="str">
            <v>Φ 139.8*4t</v>
          </cell>
          <cell r="U70">
            <v>13.399949999999999</v>
          </cell>
        </row>
        <row r="71">
          <cell r="D71" t="str">
            <v>Φ 139.8*4.5t</v>
          </cell>
          <cell r="U71">
            <v>15.017049999999998</v>
          </cell>
        </row>
        <row r="72">
          <cell r="D72" t="str">
            <v>Φ 139.8*6t</v>
          </cell>
          <cell r="U72">
            <v>19.797699999999999</v>
          </cell>
        </row>
        <row r="73">
          <cell r="D73" t="str">
            <v>Φ 508*9t</v>
          </cell>
          <cell r="U73">
            <v>110.76350000000001</v>
          </cell>
        </row>
        <row r="74">
          <cell r="D74" t="str">
            <v>Φ 508*12t</v>
          </cell>
          <cell r="U74">
            <v>146.79500000000002</v>
          </cell>
        </row>
        <row r="75">
          <cell r="D75" t="str">
            <v>Φ 508*14t</v>
          </cell>
          <cell r="U75">
            <v>170.58050000000003</v>
          </cell>
        </row>
        <row r="76">
          <cell r="D76" t="str">
            <v>Φ 508*16t</v>
          </cell>
          <cell r="U76">
            <v>194.13050000000001</v>
          </cell>
        </row>
        <row r="77">
          <cell r="D77" t="str">
            <v>Φ 508*19t</v>
          </cell>
          <cell r="U77">
            <v>228.6705</v>
          </cell>
        </row>
        <row r="78">
          <cell r="D78" t="str">
            <v>Φ 508*22t</v>
          </cell>
          <cell r="U78">
            <v>263.68149999999997</v>
          </cell>
        </row>
        <row r="79">
          <cell r="D79" t="str">
            <v>Φ 609.6*9t</v>
          </cell>
          <cell r="U79">
            <v>133.29300000000001</v>
          </cell>
        </row>
        <row r="80">
          <cell r="D80" t="str">
            <v>Φ 609.6*12t</v>
          </cell>
          <cell r="U80">
            <v>176.8605</v>
          </cell>
        </row>
        <row r="81">
          <cell r="D81" t="str">
            <v>Φ 609.6*14t</v>
          </cell>
          <cell r="U81">
            <v>205.67</v>
          </cell>
        </row>
        <row r="82">
          <cell r="D82" t="str">
            <v>Φ 609.6*16t</v>
          </cell>
          <cell r="U82">
            <v>234.24399999999997</v>
          </cell>
        </row>
        <row r="83">
          <cell r="D83" t="str">
            <v>Φ 609.6*19t</v>
          </cell>
          <cell r="U83">
            <v>276.71250000000003</v>
          </cell>
        </row>
        <row r="84">
          <cell r="D84" t="str">
            <v>Φ 609.6*22t</v>
          </cell>
          <cell r="U84">
            <v>318.78850000000006</v>
          </cell>
        </row>
        <row r="86">
          <cell r="U86" t="str">
            <v>Angle단중</v>
          </cell>
        </row>
        <row r="87">
          <cell r="D87" t="str">
            <v>ㄴ50*50*4t</v>
          </cell>
          <cell r="U87">
            <v>3.0552200000000003</v>
          </cell>
        </row>
        <row r="88">
          <cell r="D88" t="str">
            <v>ㄴ50*50*6t</v>
          </cell>
          <cell r="U88">
            <v>4.4305399999999997</v>
          </cell>
        </row>
        <row r="89">
          <cell r="D89" t="str">
            <v>ㄴ50*50*8t</v>
          </cell>
          <cell r="U89">
            <v>5.7807399999999998</v>
          </cell>
        </row>
        <row r="90">
          <cell r="D90" t="str">
            <v>ㄴ60*60*4t</v>
          </cell>
          <cell r="U90">
            <v>3.6832200000000004</v>
          </cell>
        </row>
        <row r="91">
          <cell r="D91" t="str">
            <v>ㄴ60*60*5t</v>
          </cell>
          <cell r="U91">
            <v>4.55457</v>
          </cell>
        </row>
        <row r="92">
          <cell r="D92" t="str">
            <v>ㄴ60*60*6t</v>
          </cell>
          <cell r="U92">
            <v>5.3725400000000008</v>
          </cell>
        </row>
        <row r="93">
          <cell r="D93" t="str">
            <v>ㄴ60*60*7t</v>
          </cell>
          <cell r="U93">
            <v>6.2124899999999998</v>
          </cell>
        </row>
        <row r="94">
          <cell r="D94" t="str">
            <v>ㄴ60*60*9t</v>
          </cell>
          <cell r="U94">
            <v>7.8452900000000003</v>
          </cell>
        </row>
        <row r="95">
          <cell r="D95" t="str">
            <v>ㄴ65*50*5t</v>
          </cell>
          <cell r="U95">
            <v>4.35832</v>
          </cell>
        </row>
        <row r="96">
          <cell r="D96" t="str">
            <v>ㄴ65*50*7t</v>
          </cell>
          <cell r="U96">
            <v>5.9377399999999998</v>
          </cell>
        </row>
        <row r="97">
          <cell r="D97" t="str">
            <v>ㄴ65*50*9t</v>
          </cell>
          <cell r="U97">
            <v>7.4920400000000003</v>
          </cell>
        </row>
        <row r="98">
          <cell r="D98" t="str">
            <v>ㄴ65*65*6t</v>
          </cell>
          <cell r="U98">
            <v>5.9086950000000007</v>
          </cell>
        </row>
        <row r="99">
          <cell r="D99" t="str">
            <v>ㄴ65*65*8t</v>
          </cell>
          <cell r="U99">
            <v>7.6623849999999996</v>
          </cell>
        </row>
        <row r="100">
          <cell r="D100" t="str">
            <v>ㄴ65*65*10t</v>
          </cell>
          <cell r="U100">
            <v>9.42</v>
          </cell>
        </row>
        <row r="101">
          <cell r="D101" t="str">
            <v>ㄴ70*70*6t</v>
          </cell>
          <cell r="U101">
            <v>6.3796950000000008</v>
          </cell>
        </row>
        <row r="102">
          <cell r="D102" t="str">
            <v>ㄴ75*50*6t</v>
          </cell>
          <cell r="U102">
            <v>5.6731949999999998</v>
          </cell>
        </row>
        <row r="103">
          <cell r="D103" t="str">
            <v>ㄴ75*50*9t</v>
          </cell>
          <cell r="U103">
            <v>8.1953999999999994</v>
          </cell>
        </row>
        <row r="104">
          <cell r="D104" t="str">
            <v>ㄴ75*65*6t</v>
          </cell>
          <cell r="U104">
            <v>6.3796950000000008</v>
          </cell>
        </row>
        <row r="105">
          <cell r="D105" t="str">
            <v>ㄴ75*65*8t</v>
          </cell>
          <cell r="U105">
            <v>8.2896000000000001</v>
          </cell>
        </row>
        <row r="106">
          <cell r="D106" t="str">
            <v>ㄴ75*65*9t</v>
          </cell>
          <cell r="U106">
            <v>9.2551499999999987</v>
          </cell>
        </row>
        <row r="107">
          <cell r="D107" t="str">
            <v>ㄴ75*65*10t</v>
          </cell>
          <cell r="U107">
            <v>10.205</v>
          </cell>
        </row>
        <row r="108">
          <cell r="D108" t="str">
            <v>ㄴ75*75*6t</v>
          </cell>
          <cell r="U108">
            <v>6.8506950000000009</v>
          </cell>
        </row>
        <row r="109">
          <cell r="D109" t="str">
            <v>ㄴ75*75*9t</v>
          </cell>
          <cell r="U109">
            <v>9.9616499999999988</v>
          </cell>
        </row>
        <row r="110">
          <cell r="D110" t="str">
            <v>ㄴ75*75*12t</v>
          </cell>
          <cell r="U110">
            <v>12.999599999999999</v>
          </cell>
        </row>
        <row r="111">
          <cell r="D111" t="str">
            <v>ㄴ80*80*6t</v>
          </cell>
          <cell r="U111">
            <v>7.3216950000000001</v>
          </cell>
        </row>
        <row r="112">
          <cell r="D112" t="str">
            <v>ㄴ90*75*6t</v>
          </cell>
          <cell r="U112">
            <v>7.5571950000000001</v>
          </cell>
        </row>
        <row r="113">
          <cell r="D113" t="str">
            <v>ㄴ90*75*9t</v>
          </cell>
          <cell r="U113">
            <v>11.0214</v>
          </cell>
        </row>
        <row r="114">
          <cell r="D114" t="str">
            <v>ㄴ90*75*12t</v>
          </cell>
          <cell r="U114">
            <v>14.412599999999998</v>
          </cell>
        </row>
        <row r="115">
          <cell r="D115" t="str">
            <v>ㄴ90*90*6t</v>
          </cell>
          <cell r="U115">
            <v>8.2817500000000006</v>
          </cell>
        </row>
        <row r="116">
          <cell r="D116" t="str">
            <v>ㄴ90*90*7t</v>
          </cell>
          <cell r="U116">
            <v>9.5927000000000007</v>
          </cell>
        </row>
        <row r="117">
          <cell r="D117" t="str">
            <v>ㄴ90*90*10t</v>
          </cell>
          <cell r="U117">
            <v>13.344999999999999</v>
          </cell>
        </row>
        <row r="118">
          <cell r="D118" t="str">
            <v>ㄴ90*90*13t</v>
          </cell>
          <cell r="U118">
            <v>17.042349999999999</v>
          </cell>
        </row>
        <row r="119">
          <cell r="D119" t="str">
            <v>ㄴ100*75*7t</v>
          </cell>
          <cell r="U119">
            <v>9.3179499999999997</v>
          </cell>
        </row>
        <row r="120">
          <cell r="D120" t="str">
            <v>ㄴ100*75*10t</v>
          </cell>
          <cell r="U120">
            <v>12.952500000000001</v>
          </cell>
        </row>
        <row r="121">
          <cell r="D121" t="str">
            <v>ㄴ100*75*13t</v>
          </cell>
          <cell r="U121">
            <v>16.532099999999996</v>
          </cell>
        </row>
        <row r="122">
          <cell r="D122" t="str">
            <v>ㄴ100*80*7t</v>
          </cell>
          <cell r="U122">
            <v>9.5927000000000007</v>
          </cell>
        </row>
        <row r="123">
          <cell r="D123" t="str">
            <v>ㄴ100*80*10t</v>
          </cell>
          <cell r="U123">
            <v>13.344999999999999</v>
          </cell>
        </row>
        <row r="124">
          <cell r="D124" t="str">
            <v>ㄴ100*80*13t</v>
          </cell>
          <cell r="U124">
            <v>17.042349999999999</v>
          </cell>
        </row>
        <row r="125">
          <cell r="D125" t="str">
            <v>ㄴ100*100*7t</v>
          </cell>
          <cell r="U125">
            <v>10.691699999999999</v>
          </cell>
        </row>
        <row r="126">
          <cell r="D126" t="str">
            <v>ㄴ100*100*10t</v>
          </cell>
          <cell r="U126">
            <v>14.915000000000001</v>
          </cell>
        </row>
        <row r="127">
          <cell r="D127" t="str">
            <v>ㄴ100*100*13t</v>
          </cell>
          <cell r="U127">
            <v>19.083349999999999</v>
          </cell>
        </row>
        <row r="128">
          <cell r="D128" t="str">
            <v>ㄴ120*120*8t</v>
          </cell>
          <cell r="U128">
            <v>14.726600000000003</v>
          </cell>
        </row>
        <row r="129">
          <cell r="D129" t="str">
            <v>ㄴ125*75*7t</v>
          </cell>
          <cell r="U129">
            <v>10.691699999999999</v>
          </cell>
        </row>
        <row r="130">
          <cell r="D130" t="str">
            <v>ㄴ125*75*9t</v>
          </cell>
          <cell r="U130">
            <v>13.494149999999999</v>
          </cell>
        </row>
        <row r="131">
          <cell r="D131" t="str">
            <v>ㄴ125*75*10t</v>
          </cell>
          <cell r="U131">
            <v>14.915000000000001</v>
          </cell>
        </row>
        <row r="132">
          <cell r="D132" t="str">
            <v>ㄴ125*75*13t</v>
          </cell>
          <cell r="U132">
            <v>19.083349999999999</v>
          </cell>
        </row>
        <row r="133">
          <cell r="D133" t="str">
            <v>ㄴ125*90*7t</v>
          </cell>
          <cell r="U133">
            <v>11.51595</v>
          </cell>
        </row>
        <row r="134">
          <cell r="D134" t="str">
            <v>ㄴ125*90*9t</v>
          </cell>
          <cell r="U134">
            <v>14.553899999999999</v>
          </cell>
        </row>
        <row r="135">
          <cell r="D135" t="str">
            <v>ㄴ125*90*10t</v>
          </cell>
          <cell r="U135">
            <v>16.092499999999998</v>
          </cell>
        </row>
        <row r="136">
          <cell r="D136" t="str">
            <v>ㄴ125*90*13t</v>
          </cell>
          <cell r="U136">
            <v>20.614100000000001</v>
          </cell>
        </row>
        <row r="137">
          <cell r="D137" t="str">
            <v>ㄴ150*90*9t</v>
          </cell>
          <cell r="U137">
            <v>16.437899999999999</v>
          </cell>
        </row>
        <row r="138">
          <cell r="D138" t="str">
            <v>ㄴ150*90*12t</v>
          </cell>
          <cell r="U138">
            <v>21.477599999999999</v>
          </cell>
        </row>
        <row r="139">
          <cell r="D139" t="str">
            <v>ㄴ150*90*15t</v>
          </cell>
          <cell r="U139">
            <v>26.493750000000002</v>
          </cell>
        </row>
        <row r="140">
          <cell r="D140" t="str">
            <v>ㄴ150*100*9t</v>
          </cell>
          <cell r="U140">
            <v>17.144400000000001</v>
          </cell>
        </row>
        <row r="141">
          <cell r="D141" t="str">
            <v>ㄴ150*100*12t</v>
          </cell>
          <cell r="U141">
            <v>22.419599999999999</v>
          </cell>
        </row>
        <row r="142">
          <cell r="D142" t="str">
            <v>ㄴ150*100*15t</v>
          </cell>
          <cell r="U142">
            <v>27.671250000000001</v>
          </cell>
        </row>
        <row r="144">
          <cell r="U144" t="str">
            <v>Channel단중</v>
          </cell>
        </row>
        <row r="145">
          <cell r="D145" t="str">
            <v>ㄷ75*40*4t*7t</v>
          </cell>
          <cell r="U145">
            <v>6.437628000000001</v>
          </cell>
        </row>
        <row r="146">
          <cell r="D146" t="str">
            <v>ㄷ75*40*5t*7t</v>
          </cell>
          <cell r="U146">
            <v>6.9221300000000001</v>
          </cell>
        </row>
        <row r="147">
          <cell r="D147" t="str">
            <v>ㄷ100*40*4t*7t</v>
          </cell>
          <cell r="U147">
            <v>7.2383280000000001</v>
          </cell>
        </row>
        <row r="148">
          <cell r="D148" t="str">
            <v>ㄷ100*50*5t*7.5t</v>
          </cell>
          <cell r="U148">
            <v>9.3571999999999989</v>
          </cell>
        </row>
        <row r="149">
          <cell r="D149" t="str">
            <v>ㄷ125*65*6t*8t</v>
          </cell>
          <cell r="U149">
            <v>13.431349999999998</v>
          </cell>
        </row>
        <row r="150">
          <cell r="D150" t="str">
            <v>ㄷ150*70*6t*8.5t</v>
          </cell>
          <cell r="U150">
            <v>15.770650000000002</v>
          </cell>
        </row>
        <row r="151">
          <cell r="D151" t="str">
            <v>ㄷ150*75*6.5t*10t</v>
          </cell>
          <cell r="U151">
            <v>18.612350000000003</v>
          </cell>
        </row>
        <row r="152">
          <cell r="D152" t="str">
            <v>ㄷ150*75*9t*12.5t</v>
          </cell>
          <cell r="U152">
            <v>24.01315</v>
          </cell>
        </row>
        <row r="153">
          <cell r="D153" t="str">
            <v>ㄷ200*70*7t*10t</v>
          </cell>
          <cell r="U153">
            <v>21.132200000000001</v>
          </cell>
        </row>
        <row r="154">
          <cell r="D154" t="str">
            <v>ㄷ200*80*7.5t*11.5t</v>
          </cell>
          <cell r="U154">
            <v>24.594049999999999</v>
          </cell>
        </row>
        <row r="155">
          <cell r="D155" t="str">
            <v>ㄷ200*90*8t*13.5t</v>
          </cell>
          <cell r="U155">
            <v>30.340249999999997</v>
          </cell>
        </row>
        <row r="157">
          <cell r="U157" t="str">
            <v>H_Beam단중</v>
          </cell>
        </row>
        <row r="158">
          <cell r="D158" t="str">
            <v>H 75*75*5t*8t</v>
          </cell>
          <cell r="U158">
            <v>12.20518</v>
          </cell>
        </row>
        <row r="159">
          <cell r="D159" t="str">
            <v>H 100*50*5t*7t</v>
          </cell>
          <cell r="U159">
            <v>19</v>
          </cell>
        </row>
        <row r="160">
          <cell r="D160" t="str">
            <v>H 100*100*6t*8t</v>
          </cell>
          <cell r="U160">
            <v>17.191500000000001</v>
          </cell>
        </row>
        <row r="161">
          <cell r="D161" t="str">
            <v>H 125*60*6t*8t</v>
          </cell>
          <cell r="U161">
            <v>13.2194</v>
          </cell>
        </row>
        <row r="162">
          <cell r="D162" t="str">
            <v>H 125*125*6.5t*9t</v>
          </cell>
          <cell r="U162">
            <v>23.79335</v>
          </cell>
        </row>
        <row r="163">
          <cell r="D163" t="str">
            <v>H 150*75*5t*7t</v>
          </cell>
          <cell r="U163">
            <v>14.012250000000002</v>
          </cell>
        </row>
        <row r="164">
          <cell r="D164" t="str">
            <v>H 150*100*3.2t*4.5t</v>
          </cell>
          <cell r="U164">
            <v>11.031196800000002</v>
          </cell>
        </row>
        <row r="165">
          <cell r="D165" t="str">
            <v>H 150*100*6t*9t</v>
          </cell>
          <cell r="U165">
            <v>21.069400000000002</v>
          </cell>
        </row>
        <row r="166">
          <cell r="D166" t="str">
            <v>H 150*150*7t*10t</v>
          </cell>
          <cell r="U166">
            <v>31.509900000000002</v>
          </cell>
        </row>
        <row r="167">
          <cell r="D167" t="str">
            <v>H 175*90*5t*8t</v>
          </cell>
          <cell r="U167">
            <v>18.086399999999998</v>
          </cell>
        </row>
        <row r="168">
          <cell r="D168" t="str">
            <v>H 175*175*7.5t*11t</v>
          </cell>
          <cell r="U168">
            <v>40.199849999999998</v>
          </cell>
        </row>
        <row r="169">
          <cell r="D169" t="str">
            <v>H 200*100*4.5t*7t</v>
          </cell>
          <cell r="U169">
            <v>18.196300000000001</v>
          </cell>
        </row>
        <row r="170">
          <cell r="D170" t="str">
            <v>H 200*100*5.5t*8t</v>
          </cell>
          <cell r="U170">
            <v>21.320599999999999</v>
          </cell>
        </row>
        <row r="171">
          <cell r="D171" t="str">
            <v>H 200*150*3.2t*4.5t</v>
          </cell>
          <cell r="U171">
            <v>16.011236800000002</v>
          </cell>
        </row>
        <row r="172">
          <cell r="D172" t="str">
            <v>H 200*150*4.5t*6t</v>
          </cell>
          <cell r="U172">
            <v>21.601944000000003</v>
          </cell>
        </row>
        <row r="173">
          <cell r="D173" t="str">
            <v>H 200*150*6t*9t</v>
          </cell>
          <cell r="U173">
            <v>30.62285</v>
          </cell>
        </row>
        <row r="174">
          <cell r="D174" t="str">
            <v>H 200*200*8t*12t</v>
          </cell>
          <cell r="U174">
            <v>49.871049999999997</v>
          </cell>
        </row>
        <row r="175">
          <cell r="D175" t="str">
            <v>H 200*200*12t*12t</v>
          </cell>
          <cell r="U175">
            <v>56.151049999999998</v>
          </cell>
        </row>
        <row r="176">
          <cell r="D176" t="str">
            <v>H 200*200*10t*16t</v>
          </cell>
          <cell r="U176">
            <v>65.696650000000005</v>
          </cell>
        </row>
        <row r="177">
          <cell r="D177" t="str">
            <v>H 250*125*5t*8t</v>
          </cell>
          <cell r="U177">
            <v>25.653800000000004</v>
          </cell>
        </row>
        <row r="178">
          <cell r="D178" t="str">
            <v>H 250*125*6t*9t</v>
          </cell>
          <cell r="U178">
            <v>29.563099999999999</v>
          </cell>
        </row>
        <row r="179">
          <cell r="D179" t="str">
            <v>H 250*175*7t*11t</v>
          </cell>
          <cell r="U179">
            <v>44.148400000000002</v>
          </cell>
        </row>
        <row r="180">
          <cell r="D180" t="str">
            <v>H 250*250*11t*11t</v>
          </cell>
          <cell r="U180">
            <v>64.417099999999991</v>
          </cell>
        </row>
        <row r="181">
          <cell r="D181" t="str">
            <v>H 250*250*8t*13t</v>
          </cell>
          <cell r="U181">
            <v>66.489500000000007</v>
          </cell>
        </row>
        <row r="182">
          <cell r="D182" t="str">
            <v>H 250*250*9t*14t</v>
          </cell>
          <cell r="U182">
            <v>72.361300000000014</v>
          </cell>
        </row>
        <row r="183">
          <cell r="D183" t="str">
            <v>H 250*250*14t*14t</v>
          </cell>
          <cell r="U183">
            <v>82.18950000000001</v>
          </cell>
        </row>
        <row r="184">
          <cell r="D184" t="str">
            <v>H 300*150*5.5t*8t</v>
          </cell>
          <cell r="U184">
            <v>32.027999999999999</v>
          </cell>
        </row>
        <row r="185">
          <cell r="D185" t="str">
            <v>H 300*150*6.5t*9t</v>
          </cell>
          <cell r="U185">
            <v>36.722300000000004</v>
          </cell>
        </row>
        <row r="186">
          <cell r="D186" t="str">
            <v>H 300*200*8t*12t</v>
          </cell>
          <cell r="U186">
            <v>56.818300000000001</v>
          </cell>
        </row>
        <row r="187">
          <cell r="D187" t="str">
            <v>H 300*200*9t*14t</v>
          </cell>
          <cell r="U187">
            <v>65.437600000000003</v>
          </cell>
        </row>
        <row r="188">
          <cell r="D188" t="str">
            <v>H 300*300*12t*12t</v>
          </cell>
          <cell r="U188">
            <v>84.544499999999999</v>
          </cell>
        </row>
        <row r="189">
          <cell r="D189" t="str">
            <v>H 300*300*9t*14t</v>
          </cell>
          <cell r="U189">
            <v>86.978000000000009</v>
          </cell>
        </row>
        <row r="190">
          <cell r="D190" t="str">
            <v>H 300*300*10t*15t</v>
          </cell>
          <cell r="U190">
            <v>94.043000000000006</v>
          </cell>
        </row>
        <row r="191">
          <cell r="D191" t="str">
            <v>H 300*300*11t*12t</v>
          </cell>
          <cell r="U191">
            <v>82.503500000000003</v>
          </cell>
        </row>
        <row r="192">
          <cell r="D192" t="str">
            <v>H 300*300*11t*17t</v>
          </cell>
          <cell r="U192">
            <v>105.81800000000001</v>
          </cell>
        </row>
        <row r="193">
          <cell r="D193" t="str">
            <v>H 300*300*15t*15t</v>
          </cell>
          <cell r="U193">
            <v>105.81800000000001</v>
          </cell>
        </row>
        <row r="194">
          <cell r="D194" t="str">
            <v>H 450*200*8t*13t</v>
          </cell>
          <cell r="U194">
            <v>70.145088000000001</v>
          </cell>
        </row>
        <row r="195">
          <cell r="D195" t="str">
            <v>H 450*200*9t*14t</v>
          </cell>
          <cell r="U195">
            <v>76.725272000000004</v>
          </cell>
        </row>
        <row r="196">
          <cell r="D196" t="str">
            <v>H 500*200*10t*16t</v>
          </cell>
          <cell r="U196">
            <v>90.457120000000018</v>
          </cell>
        </row>
        <row r="198">
          <cell r="U198" t="str">
            <v>Lip_Channel단중</v>
          </cell>
        </row>
        <row r="199">
          <cell r="D199" t="str">
            <v>C 60*30*10*1.6t</v>
          </cell>
          <cell r="U199">
            <v>1.6265200000000002</v>
          </cell>
        </row>
        <row r="200">
          <cell r="D200" t="str">
            <v>C 60*30*10*2t</v>
          </cell>
          <cell r="U200">
            <v>1.9915450000000001</v>
          </cell>
        </row>
        <row r="201">
          <cell r="D201" t="str">
            <v>C 60*30*10*2.3t</v>
          </cell>
          <cell r="U201">
            <v>2.2545199999999999</v>
          </cell>
        </row>
        <row r="202">
          <cell r="D202" t="str">
            <v>C 70*40*25*1.6t</v>
          </cell>
          <cell r="U202">
            <v>2.3801199999999998</v>
          </cell>
        </row>
        <row r="203">
          <cell r="D203" t="str">
            <v>C 75*35*15*2.3t</v>
          </cell>
          <cell r="U203">
            <v>2.8864450000000001</v>
          </cell>
        </row>
        <row r="204">
          <cell r="D204" t="str">
            <v>C 75*45*15*1.6t</v>
          </cell>
          <cell r="U204">
            <v>2.31732</v>
          </cell>
        </row>
        <row r="205">
          <cell r="D205" t="str">
            <v>C 75*45*15*2t</v>
          </cell>
          <cell r="U205">
            <v>2.8550450000000001</v>
          </cell>
        </row>
        <row r="206">
          <cell r="D206" t="str">
            <v>C 75*45*15*2.3t</v>
          </cell>
          <cell r="U206">
            <v>3.2475449999999997</v>
          </cell>
        </row>
        <row r="207">
          <cell r="D207" t="str">
            <v>C 90*45*20*1.6t</v>
          </cell>
          <cell r="U207">
            <v>2.6313200000000001</v>
          </cell>
        </row>
        <row r="208">
          <cell r="D208" t="str">
            <v>C 90*45*20*2.3t</v>
          </cell>
          <cell r="U208">
            <v>3.6989199999999998</v>
          </cell>
        </row>
        <row r="209">
          <cell r="D209" t="str">
            <v>C 90*45*20*3.2t</v>
          </cell>
          <cell r="U209">
            <v>4.9980950000000002</v>
          </cell>
        </row>
        <row r="210">
          <cell r="D210" t="str">
            <v>C 100*50*20*1.6t</v>
          </cell>
          <cell r="U210">
            <v>2.88252</v>
          </cell>
        </row>
        <row r="211">
          <cell r="D211" t="str">
            <v>C 100*50*20*2t</v>
          </cell>
          <cell r="U211">
            <v>3.5615449999999997</v>
          </cell>
        </row>
        <row r="212">
          <cell r="D212" t="str">
            <v>C 100*50*20*2.3t</v>
          </cell>
          <cell r="U212">
            <v>4.0600199999999997</v>
          </cell>
        </row>
        <row r="213">
          <cell r="D213" t="str">
            <v>C 100*50*20*2.8t</v>
          </cell>
          <cell r="U213">
            <v>4.8709249999999997</v>
          </cell>
        </row>
        <row r="214">
          <cell r="D214" t="str">
            <v>C 100*50*20*3.2t</v>
          </cell>
          <cell r="U214">
            <v>5.5004949999999999</v>
          </cell>
        </row>
        <row r="215">
          <cell r="D215" t="str">
            <v>C 100*50*20*4t</v>
          </cell>
          <cell r="U215">
            <v>6.7101800000000003</v>
          </cell>
        </row>
        <row r="216">
          <cell r="D216" t="str">
            <v>C 100*50*20*4.5t</v>
          </cell>
          <cell r="U216">
            <v>7.4331649999999998</v>
          </cell>
        </row>
        <row r="217">
          <cell r="D217" t="str">
            <v>C 120*40*20*3.2t</v>
          </cell>
          <cell r="U217">
            <v>5.5004949999999999</v>
          </cell>
        </row>
        <row r="218">
          <cell r="D218" t="str">
            <v>C 120*60*20*2.3t</v>
          </cell>
          <cell r="U218">
            <v>4.7822199999999997</v>
          </cell>
        </row>
        <row r="219">
          <cell r="D219" t="str">
            <v>C 120*60*20*3.2t</v>
          </cell>
          <cell r="U219">
            <v>6.5052950000000012</v>
          </cell>
        </row>
        <row r="220">
          <cell r="D220" t="str">
            <v>C 120*60*20*4.5t</v>
          </cell>
          <cell r="U220">
            <v>9.2002000000000006</v>
          </cell>
        </row>
        <row r="221">
          <cell r="D221" t="str">
            <v>C 125*50*20*2.3t</v>
          </cell>
          <cell r="U221">
            <v>4.5113949999999994</v>
          </cell>
        </row>
        <row r="222">
          <cell r="D222" t="str">
            <v>C 125*50*20*3.2t</v>
          </cell>
          <cell r="U222">
            <v>6.1284950000000009</v>
          </cell>
        </row>
        <row r="223">
          <cell r="D223" t="str">
            <v>C 125*50*20*4t</v>
          </cell>
          <cell r="U223">
            <v>7.4951799999999995</v>
          </cell>
        </row>
        <row r="224">
          <cell r="D224" t="str">
            <v>C 125*50*20*4.5t</v>
          </cell>
          <cell r="U224">
            <v>8.3131499999999985</v>
          </cell>
        </row>
        <row r="225">
          <cell r="D225" t="str">
            <v>C 150*50*20*2.3t</v>
          </cell>
          <cell r="U225">
            <v>4.9627699999999999</v>
          </cell>
        </row>
        <row r="226">
          <cell r="D226" t="str">
            <v>C 150*50*20*3.2t</v>
          </cell>
          <cell r="U226">
            <v>6.7564950000000001</v>
          </cell>
        </row>
        <row r="227">
          <cell r="D227" t="str">
            <v>C 150*50*20*4.5t</v>
          </cell>
          <cell r="U227">
            <v>9.2002000000000006</v>
          </cell>
        </row>
        <row r="228">
          <cell r="D228" t="str">
            <v>C 150*65*20*2.3t</v>
          </cell>
          <cell r="U228">
            <v>5.5044199999999996</v>
          </cell>
        </row>
        <row r="229">
          <cell r="D229" t="str">
            <v>C 150*65*20*3.2t</v>
          </cell>
          <cell r="U229">
            <v>7.5100949999999997</v>
          </cell>
        </row>
        <row r="230">
          <cell r="D230" t="str">
            <v>C 150*65*20*4t</v>
          </cell>
          <cell r="U230">
            <v>9.2237500000000008</v>
          </cell>
        </row>
        <row r="231">
          <cell r="D231" t="str">
            <v>C 150*75*20*3.2t</v>
          </cell>
          <cell r="U231">
            <v>8.0148500000000009</v>
          </cell>
        </row>
        <row r="232">
          <cell r="D232" t="str">
            <v>C 150*75*20*4t</v>
          </cell>
          <cell r="U232">
            <v>9.8517500000000009</v>
          </cell>
        </row>
        <row r="233">
          <cell r="D233" t="str">
            <v>C 150*75*20*4.5t</v>
          </cell>
          <cell r="U233">
            <v>10.966450000000002</v>
          </cell>
        </row>
        <row r="234">
          <cell r="D234" t="str">
            <v>C 150*75*25*3.2t</v>
          </cell>
          <cell r="U234">
            <v>8.2660499999999981</v>
          </cell>
        </row>
        <row r="235">
          <cell r="D235" t="str">
            <v>C 150*75*25*4t</v>
          </cell>
          <cell r="U235">
            <v>10.165749999999999</v>
          </cell>
        </row>
        <row r="236">
          <cell r="D236" t="str">
            <v>C 150*75*25*4.5t</v>
          </cell>
          <cell r="U236">
            <v>11.319699999999999</v>
          </cell>
        </row>
        <row r="238">
          <cell r="U238" t="str">
            <v>Roundbar단중</v>
          </cell>
        </row>
        <row r="239">
          <cell r="D239" t="str">
            <v>Φ 10</v>
          </cell>
          <cell r="U239">
            <v>0.61622500000000002</v>
          </cell>
        </row>
        <row r="240">
          <cell r="D240" t="str">
            <v>Φ 13</v>
          </cell>
          <cell r="U240">
            <v>1.041695</v>
          </cell>
        </row>
        <row r="241">
          <cell r="D241" t="str">
            <v>Φ 15</v>
          </cell>
          <cell r="U241">
            <v>1.387095</v>
          </cell>
        </row>
        <row r="242">
          <cell r="D242" t="str">
            <v>Φ 16</v>
          </cell>
          <cell r="U242">
            <v>1.5775360000000003</v>
          </cell>
        </row>
        <row r="243">
          <cell r="D243" t="str">
            <v>Φ 18</v>
          </cell>
          <cell r="U243">
            <v>1.996569</v>
          </cell>
        </row>
        <row r="262">
          <cell r="U262" t="str">
            <v>Plate중량</v>
          </cell>
        </row>
        <row r="263">
          <cell r="D263" t="str">
            <v>PL 55*285*9t</v>
          </cell>
          <cell r="U263">
            <v>1.10743875</v>
          </cell>
        </row>
        <row r="264">
          <cell r="D264" t="str">
            <v>PL 75*285*9t</v>
          </cell>
          <cell r="U264">
            <v>1.5101437499999999</v>
          </cell>
        </row>
        <row r="265">
          <cell r="D265" t="str">
            <v>PL 100*60*4.5t</v>
          </cell>
          <cell r="U265">
            <v>0.21195</v>
          </cell>
        </row>
        <row r="266">
          <cell r="D266" t="str">
            <v>PL 100*160*4.5t</v>
          </cell>
          <cell r="U266">
            <v>0.56519999999999992</v>
          </cell>
        </row>
        <row r="267">
          <cell r="D267" t="str">
            <v>PL 100*405*6t</v>
          </cell>
          <cell r="U267">
            <v>1.9075499999999999</v>
          </cell>
        </row>
        <row r="268">
          <cell r="D268" t="str">
            <v>PL 140*165*6t</v>
          </cell>
          <cell r="U268">
            <v>1.0880099999999999</v>
          </cell>
        </row>
        <row r="269">
          <cell r="D269" t="str">
            <v>PL 145*285*9t</v>
          </cell>
          <cell r="U269">
            <v>2.91961125</v>
          </cell>
        </row>
        <row r="270">
          <cell r="D270" t="str">
            <v>PL 150*170*12t</v>
          </cell>
          <cell r="U270">
            <v>2.4020999999999999</v>
          </cell>
        </row>
        <row r="271">
          <cell r="D271" t="str">
            <v>PL 170*100*6t</v>
          </cell>
          <cell r="U271">
            <v>0.80069999999999997</v>
          </cell>
        </row>
        <row r="272">
          <cell r="D272" t="str">
            <v>PL 170*100*9t</v>
          </cell>
          <cell r="U272">
            <v>1.20105</v>
          </cell>
        </row>
        <row r="273">
          <cell r="D273" t="str">
            <v>PL 170*200*6t</v>
          </cell>
          <cell r="U273">
            <v>1.6013999999999999</v>
          </cell>
        </row>
        <row r="274">
          <cell r="D274" t="str">
            <v>PL 180*180*9t</v>
          </cell>
          <cell r="U274">
            <v>2.2890599999999997</v>
          </cell>
        </row>
        <row r="275">
          <cell r="D275" t="str">
            <v>PL 195*285*9t</v>
          </cell>
          <cell r="U275">
            <v>3.9263737499999993</v>
          </cell>
        </row>
        <row r="276">
          <cell r="D276" t="str">
            <v>PL 240*80*12t</v>
          </cell>
          <cell r="U276">
            <v>1.8086399999999998</v>
          </cell>
        </row>
        <row r="277">
          <cell r="D277" t="str">
            <v>PL 240*100*6t</v>
          </cell>
          <cell r="U277">
            <v>1.1303999999999998</v>
          </cell>
        </row>
        <row r="278">
          <cell r="D278" t="str">
            <v>PL 240*100*4.5t</v>
          </cell>
          <cell r="U278">
            <v>0.8478</v>
          </cell>
        </row>
        <row r="279">
          <cell r="D279" t="str">
            <v>PL 240*120*9t</v>
          </cell>
          <cell r="U279">
            <v>2.0347199999999996</v>
          </cell>
        </row>
        <row r="280">
          <cell r="D280" t="str">
            <v>PL 240*120*12t</v>
          </cell>
          <cell r="U280">
            <v>2.7129599999999994</v>
          </cell>
        </row>
        <row r="281">
          <cell r="D281" t="str">
            <v>PL 240*120*16t</v>
          </cell>
          <cell r="U281">
            <v>3.6172799999999996</v>
          </cell>
        </row>
        <row r="282">
          <cell r="D282" t="str">
            <v>PL 240*140*16t</v>
          </cell>
          <cell r="U282">
            <v>4.2201599999999999</v>
          </cell>
        </row>
        <row r="283">
          <cell r="D283" t="str">
            <v>PL 240*170*9t</v>
          </cell>
          <cell r="U283">
            <v>2.8825199999999995</v>
          </cell>
        </row>
        <row r="284">
          <cell r="D284" t="str">
            <v>PL 240*200*4.5t</v>
          </cell>
          <cell r="U284">
            <v>1.6956</v>
          </cell>
        </row>
        <row r="285">
          <cell r="D285" t="str">
            <v>PL 240*200*6t</v>
          </cell>
          <cell r="U285">
            <v>2.2607999999999997</v>
          </cell>
        </row>
        <row r="286">
          <cell r="D286" t="str">
            <v>PL 240*200*16t</v>
          </cell>
          <cell r="U286">
            <v>6.0287999999999995</v>
          </cell>
        </row>
        <row r="287">
          <cell r="D287" t="str">
            <v>PL 240*240*9t</v>
          </cell>
          <cell r="U287">
            <v>4.0694399999999993</v>
          </cell>
        </row>
        <row r="288">
          <cell r="D288" t="str">
            <v>PL 250*200*12t</v>
          </cell>
          <cell r="U288">
            <v>4.71</v>
          </cell>
        </row>
        <row r="289">
          <cell r="D289" t="str">
            <v>PL 280*120*6t</v>
          </cell>
          <cell r="U289">
            <v>1.58256</v>
          </cell>
        </row>
        <row r="290">
          <cell r="D290" t="str">
            <v>PL 300*100*6t</v>
          </cell>
          <cell r="U290">
            <v>1.4129999999999998</v>
          </cell>
        </row>
        <row r="291">
          <cell r="D291" t="str">
            <v>PL 300*250*9t</v>
          </cell>
          <cell r="U291">
            <v>5.2987499999999992</v>
          </cell>
        </row>
        <row r="292">
          <cell r="D292" t="str">
            <v>PL 400*240*6t</v>
          </cell>
          <cell r="U292">
            <v>4.5215999999999994</v>
          </cell>
        </row>
        <row r="293">
          <cell r="D293" t="str">
            <v>PL 420*400*4.5t</v>
          </cell>
          <cell r="U293">
            <v>5.9345999999999997</v>
          </cell>
        </row>
        <row r="294">
          <cell r="D294" t="str">
            <v>PL 420*400*16t</v>
          </cell>
          <cell r="U294">
            <v>21.100799999999996</v>
          </cell>
        </row>
        <row r="297">
          <cell r="T297" t="str">
            <v>Bolt단중</v>
          </cell>
        </row>
        <row r="298">
          <cell r="D298" t="str">
            <v>M10-30L</v>
          </cell>
          <cell r="T298">
            <v>4.2559025022500002E-2</v>
          </cell>
        </row>
        <row r="299">
          <cell r="D299" t="str">
            <v xml:space="preserve">  M10-Body</v>
          </cell>
          <cell r="T299">
            <v>1.8486750000000003E-2</v>
          </cell>
        </row>
        <row r="300">
          <cell r="D300" t="str">
            <v xml:space="preserve">  M10-Head</v>
          </cell>
          <cell r="T300">
            <v>1.4445731317500004E-2</v>
          </cell>
        </row>
        <row r="301">
          <cell r="D301" t="str">
            <v xml:space="preserve">  M10-Nut</v>
          </cell>
          <cell r="T301">
            <v>5.9415182049999985E-3</v>
          </cell>
        </row>
        <row r="302">
          <cell r="D302" t="str">
            <v xml:space="preserve">  M10-Washer</v>
          </cell>
          <cell r="T302">
            <v>3.6850255000000008E-3</v>
          </cell>
        </row>
        <row r="303">
          <cell r="D303" t="str">
            <v>M12-40L</v>
          </cell>
          <cell r="T303">
            <v>7.4680739107500005E-2</v>
          </cell>
        </row>
        <row r="304">
          <cell r="D304" t="str">
            <v xml:space="preserve">  M12-Body</v>
          </cell>
          <cell r="T304">
            <v>3.5494560000000001E-2</v>
          </cell>
        </row>
        <row r="305">
          <cell r="D305" t="str">
            <v xml:space="preserve">  M12-Head</v>
          </cell>
          <cell r="T305">
            <v>2.0616546845E-2</v>
          </cell>
        </row>
        <row r="306">
          <cell r="D306" t="str">
            <v xml:space="preserve">  M12-Nut</v>
          </cell>
          <cell r="T306">
            <v>1.1203124556249999E-2</v>
          </cell>
        </row>
        <row r="307">
          <cell r="D307" t="str">
            <v xml:space="preserve">  M12-Washer</v>
          </cell>
          <cell r="T307">
            <v>7.3665077062500008E-3</v>
          </cell>
        </row>
        <row r="308">
          <cell r="D308" t="str">
            <v>M16-45L</v>
          </cell>
          <cell r="T308">
            <v>0.14655275547625002</v>
          </cell>
        </row>
        <row r="309">
          <cell r="D309" t="str">
            <v xml:space="preserve">  M16-Body</v>
          </cell>
          <cell r="T309">
            <v>7.0989120000000003E-2</v>
          </cell>
        </row>
        <row r="310">
          <cell r="D310" t="str">
            <v xml:space="preserve">  M16-Head</v>
          </cell>
          <cell r="T310">
            <v>4.1177541006250006E-2</v>
          </cell>
        </row>
        <row r="311">
          <cell r="D311" t="str">
            <v xml:space="preserve">  M16-Nut</v>
          </cell>
          <cell r="T311">
            <v>2.2610034719999998E-2</v>
          </cell>
        </row>
        <row r="312">
          <cell r="D312" t="str">
            <v xml:space="preserve">  M16-Washer</v>
          </cell>
          <cell r="T312">
            <v>1.1776059750000002E-2</v>
          </cell>
        </row>
        <row r="313">
          <cell r="D313" t="str">
            <v>M18-45L</v>
          </cell>
          <cell r="T313">
            <v>0.19689656632937502</v>
          </cell>
        </row>
        <row r="314">
          <cell r="D314" t="str">
            <v xml:space="preserve">  M18-Body</v>
          </cell>
          <cell r="T314">
            <v>8.9845604999999995E-2</v>
          </cell>
        </row>
        <row r="315">
          <cell r="D315" t="str">
            <v xml:space="preserve">  M18-Head</v>
          </cell>
          <cell r="T315">
            <v>6.261905907000001E-2</v>
          </cell>
        </row>
        <row r="316">
          <cell r="D316" t="str">
            <v xml:space="preserve">  M18-Nut</v>
          </cell>
          <cell r="T316">
            <v>2.945147250937501E-2</v>
          </cell>
        </row>
        <row r="317">
          <cell r="D317" t="str">
            <v xml:space="preserve">  M18-Washer</v>
          </cell>
          <cell r="T317">
            <v>1.498042975E-2</v>
          </cell>
        </row>
        <row r="318">
          <cell r="D318" t="str">
            <v>M20-60L</v>
          </cell>
          <cell r="T318">
            <v>0.29553491639250001</v>
          </cell>
        </row>
        <row r="319">
          <cell r="D319" t="str">
            <v xml:space="preserve">  M20-Body</v>
          </cell>
          <cell r="T319">
            <v>0.14789400000000003</v>
          </cell>
        </row>
        <row r="320">
          <cell r="D320" t="str">
            <v xml:space="preserve">  M20-Head</v>
          </cell>
          <cell r="T320">
            <v>8.3577179432499996E-2</v>
          </cell>
        </row>
        <row r="321">
          <cell r="D321" t="str">
            <v xml:space="preserve">  M20-Nut</v>
          </cell>
          <cell r="T321">
            <v>4.1209184160000002E-2</v>
          </cell>
        </row>
        <row r="322">
          <cell r="D322" t="str">
            <v xml:space="preserve">  M20-Washer</v>
          </cell>
          <cell r="T322">
            <v>2.2854552800000004E-2</v>
          </cell>
        </row>
        <row r="323">
          <cell r="D323" t="str">
            <v>M20-300L</v>
          </cell>
          <cell r="T323">
            <v>0.88711091639250006</v>
          </cell>
        </row>
        <row r="324">
          <cell r="D324" t="str">
            <v xml:space="preserve">  M20-Body</v>
          </cell>
          <cell r="T324">
            <v>0.73947000000000007</v>
          </cell>
        </row>
        <row r="325">
          <cell r="D325" t="str">
            <v xml:space="preserve">  M20-Head</v>
          </cell>
          <cell r="T325">
            <v>8.3577179432499996E-2</v>
          </cell>
        </row>
        <row r="326">
          <cell r="D326" t="str">
            <v xml:space="preserve">  M20-Nut</v>
          </cell>
          <cell r="T326">
            <v>4.1209184160000002E-2</v>
          </cell>
        </row>
        <row r="327">
          <cell r="D327" t="str">
            <v xml:space="preserve">  M20-Washer</v>
          </cell>
          <cell r="T327">
            <v>2.2854552800000004E-2</v>
          </cell>
        </row>
        <row r="328">
          <cell r="D328" t="str">
            <v>M20-400L</v>
          </cell>
          <cell r="T328">
            <v>1.1336009163925</v>
          </cell>
        </row>
        <row r="329">
          <cell r="D329" t="str">
            <v xml:space="preserve">  M20-Body</v>
          </cell>
          <cell r="T329">
            <v>0.98596000000000006</v>
          </cell>
        </row>
        <row r="330">
          <cell r="D330" t="str">
            <v xml:space="preserve">  M20-Head</v>
          </cell>
          <cell r="T330">
            <v>8.3577179432499996E-2</v>
          </cell>
        </row>
        <row r="331">
          <cell r="D331" t="str">
            <v xml:space="preserve">  M20-Nut</v>
          </cell>
          <cell r="T331">
            <v>4.1209184160000002E-2</v>
          </cell>
        </row>
        <row r="332">
          <cell r="D332" t="str">
            <v xml:space="preserve">  M20-Washer</v>
          </cell>
          <cell r="T332">
            <v>2.2854552800000004E-2</v>
          </cell>
        </row>
        <row r="333">
          <cell r="D333" t="str">
            <v>M20-500L</v>
          </cell>
          <cell r="T333">
            <v>1.3800909163924999</v>
          </cell>
        </row>
        <row r="334">
          <cell r="D334" t="str">
            <v xml:space="preserve">  M20-Body</v>
          </cell>
          <cell r="T334">
            <v>1.23245</v>
          </cell>
        </row>
        <row r="335">
          <cell r="D335" t="str">
            <v xml:space="preserve">  M20-Head</v>
          </cell>
          <cell r="T335">
            <v>8.3577179432499996E-2</v>
          </cell>
        </row>
        <row r="336">
          <cell r="D336" t="str">
            <v xml:space="preserve">  M20-Nut</v>
          </cell>
          <cell r="T336">
            <v>4.1209184160000002E-2</v>
          </cell>
        </row>
        <row r="337">
          <cell r="D337" t="str">
            <v xml:space="preserve">  M20-Washer</v>
          </cell>
          <cell r="T337">
            <v>2.2854552800000004E-2</v>
          </cell>
        </row>
      </sheetData>
      <sheetData sheetId="10" refreshError="1"/>
      <sheetData sheetId="11" refreshError="1"/>
      <sheetData sheetId="12"/>
      <sheetData sheetId="13" refreshError="1"/>
      <sheetData sheetId="1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REF"/>
      <sheetName val="양식"/>
      <sheetName val="_REF"/>
      <sheetName val="보고"/>
      <sheetName val="712"/>
      <sheetName val="기타"/>
      <sheetName val="RD제품개발투자비(매가)"/>
      <sheetName val="단가기록표"/>
      <sheetName val="신규단가"/>
      <sheetName val="Sheet3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동"/>
      <sheetName val="104동"/>
      <sheetName val="상정안건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단가산출서"/>
      <sheetName val="수목일위"/>
      <sheetName val="원가"/>
      <sheetName val="시설물일위"/>
      <sheetName val="단가"/>
      <sheetName val="간접"/>
      <sheetName val="99노임기준"/>
      <sheetName val="단가대비표"/>
      <sheetName val="일위대가"/>
      <sheetName val="G2설비도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견적서"/>
      <sheetName val="입력"/>
      <sheetName val="DATA"/>
      <sheetName val="Sheet1"/>
    </sheetNames>
    <sheetDataSet>
      <sheetData sheetId="0"/>
      <sheetData sheetId="1"/>
      <sheetData sheetId="2">
        <row r="403">
          <cell r="A403" t="str">
            <v>H-BEAM</v>
          </cell>
          <cell r="B403" t="str">
            <v>DATA!$A$2:$A$81</v>
          </cell>
        </row>
        <row r="404">
          <cell r="A404" t="str">
            <v>C-CHANNEL</v>
          </cell>
          <cell r="B404" t="str">
            <v>DATA!$A$83:$A$125</v>
          </cell>
        </row>
        <row r="405">
          <cell r="A405" t="str">
            <v>CHANNEL</v>
          </cell>
          <cell r="B405" t="str">
            <v>DATA!$A$127:$A$143</v>
          </cell>
        </row>
        <row r="406">
          <cell r="A406" t="str">
            <v>ANGLE</v>
          </cell>
          <cell r="B406" t="str">
            <v>DATA!$A$145:$A$202</v>
          </cell>
        </row>
        <row r="407">
          <cell r="A407" t="str">
            <v>ROUND BAR</v>
          </cell>
          <cell r="B407" t="str">
            <v>DATA!$A$204:$A$241</v>
          </cell>
        </row>
        <row r="408">
          <cell r="A408" t="str">
            <v>SQUARE PIPE</v>
          </cell>
          <cell r="B408" t="str">
            <v>DATA!$A$243:$A$327</v>
          </cell>
        </row>
        <row r="409">
          <cell r="A409" t="str">
            <v>DECK PLATE</v>
          </cell>
          <cell r="B409" t="str">
            <v>DATA!$A$329:$A$344</v>
          </cell>
        </row>
        <row r="410">
          <cell r="A410" t="str">
            <v>CHEK PLATE</v>
          </cell>
          <cell r="B410" t="str">
            <v>DATA!$A$346:$A$351</v>
          </cell>
        </row>
        <row r="411">
          <cell r="A411" t="str">
            <v>RAIL</v>
          </cell>
          <cell r="B411" t="str">
            <v>DATA!$A$353:$A$364</v>
          </cell>
        </row>
        <row r="412">
          <cell r="A412" t="str">
            <v>I-BEAM</v>
          </cell>
          <cell r="B412" t="str">
            <v>DATA!$A$366:$A$379</v>
          </cell>
        </row>
        <row r="413">
          <cell r="A413" t="str">
            <v>SQUARE BAR</v>
          </cell>
          <cell r="B413" t="str">
            <v>DATA!$A$381:$A$401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7B18E-8049-453D-85D5-8B6B578DAEE6}">
  <sheetPr>
    <pageSetUpPr fitToPage="1"/>
  </sheetPr>
  <dimension ref="A1:AP40"/>
  <sheetViews>
    <sheetView tabSelected="1" view="pageBreakPreview" zoomScale="85" zoomScaleNormal="85" zoomScaleSheetLayoutView="85" workbookViewId="0">
      <selection activeCell="W18" sqref="W18"/>
    </sheetView>
  </sheetViews>
  <sheetFormatPr defaultColWidth="9" defaultRowHeight="25.5" customHeight="1" x14ac:dyDescent="0.3"/>
  <cols>
    <col min="1" max="1" width="6.375" style="2" customWidth="1"/>
    <col min="2" max="2" width="7.75" style="2" customWidth="1"/>
    <col min="3" max="3" width="11.75" style="2" customWidth="1"/>
    <col min="4" max="4" width="6.75" style="3" customWidth="1"/>
    <col min="5" max="5" width="4.375" style="3" customWidth="1"/>
    <col min="6" max="6" width="6.75" style="3" customWidth="1"/>
    <col min="7" max="7" width="4.375" style="3" customWidth="1"/>
    <col min="8" max="8" width="6.75" style="3" customWidth="1"/>
    <col min="9" max="9" width="4.375" style="3" customWidth="1"/>
    <col min="10" max="10" width="7.875" style="3" customWidth="1"/>
    <col min="11" max="11" width="4.375" style="3" customWidth="1"/>
    <col min="12" max="12" width="8" style="3" customWidth="1"/>
    <col min="13" max="13" width="4.375" style="3" customWidth="1"/>
    <col min="14" max="14" width="8.125" style="3" customWidth="1"/>
    <col min="15" max="15" width="4.375" style="3" customWidth="1"/>
    <col min="16" max="16" width="9.5" style="3" customWidth="1"/>
    <col min="17" max="17" width="4.375" style="3" customWidth="1"/>
    <col min="18" max="18" width="11.75" style="3" customWidth="1"/>
    <col min="19" max="19" width="4.875" style="3" customWidth="1"/>
    <col min="20" max="20" width="11.375" style="3" customWidth="1"/>
    <col min="21" max="21" width="5.5" style="3" customWidth="1"/>
    <col min="22" max="22" width="12.875" style="5" customWidth="1"/>
    <col min="23" max="23" width="15.75" style="5" customWidth="1"/>
    <col min="24" max="32" width="12.875" style="5" customWidth="1"/>
    <col min="33" max="33" width="12.875" style="5" hidden="1" customWidth="1"/>
    <col min="34" max="34" width="9.75" style="27" hidden="1" customWidth="1"/>
    <col min="35" max="35" width="9.75" style="53" hidden="1" customWidth="1"/>
    <col min="36" max="37" width="9" style="47" customWidth="1"/>
    <col min="38" max="38" width="9" style="25"/>
    <col min="39" max="16384" width="9" style="3"/>
  </cols>
  <sheetData>
    <row r="1" spans="1:42" s="5" customFormat="1" ht="25.5" customHeight="1" x14ac:dyDescent="0.3">
      <c r="A1" s="1" t="s">
        <v>154</v>
      </c>
      <c r="B1" s="1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26"/>
      <c r="T1" s="3"/>
      <c r="U1" s="3"/>
      <c r="AH1" s="27"/>
      <c r="AI1" s="28"/>
      <c r="AJ1" s="27"/>
      <c r="AK1" s="27"/>
      <c r="AL1" s="4"/>
    </row>
    <row r="2" spans="1:42" s="5" customFormat="1" ht="25.5" customHeight="1" thickBot="1" x14ac:dyDescent="0.35">
      <c r="A2" s="1"/>
      <c r="B2" s="1"/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26"/>
      <c r="T2" s="3"/>
      <c r="U2" s="3"/>
      <c r="Z2" s="39" t="s">
        <v>110</v>
      </c>
      <c r="AL2" s="27"/>
    </row>
    <row r="3" spans="1:42" s="7" customFormat="1" ht="25.5" customHeight="1" x14ac:dyDescent="0.3">
      <c r="A3" s="133" t="s">
        <v>0</v>
      </c>
      <c r="B3" s="134"/>
      <c r="C3" s="135"/>
      <c r="D3" s="136" t="s">
        <v>1</v>
      </c>
      <c r="E3" s="135"/>
      <c r="F3" s="137" t="s">
        <v>2</v>
      </c>
      <c r="G3" s="135"/>
      <c r="H3" s="137" t="s">
        <v>3</v>
      </c>
      <c r="I3" s="135"/>
      <c r="J3" s="138" t="s">
        <v>104</v>
      </c>
      <c r="K3" s="139"/>
      <c r="L3" s="140" t="s">
        <v>105</v>
      </c>
      <c r="M3" s="139"/>
      <c r="N3" s="140" t="s">
        <v>5</v>
      </c>
      <c r="O3" s="141"/>
      <c r="P3" s="140" t="s">
        <v>6</v>
      </c>
      <c r="Q3" s="141"/>
      <c r="R3" s="117" t="s">
        <v>40</v>
      </c>
      <c r="S3" s="153"/>
      <c r="T3" s="117" t="s">
        <v>7</v>
      </c>
      <c r="U3" s="118"/>
      <c r="V3" s="5"/>
      <c r="W3" s="29" t="s">
        <v>41</v>
      </c>
      <c r="X3" s="30"/>
      <c r="Y3" s="28"/>
      <c r="Z3" s="39" t="s">
        <v>106</v>
      </c>
      <c r="AA3" s="27"/>
      <c r="AB3" s="27"/>
      <c r="AC3" s="27"/>
      <c r="AD3" s="27"/>
      <c r="AE3" s="27"/>
      <c r="AF3" s="27"/>
      <c r="AG3" s="114"/>
    </row>
    <row r="4" spans="1:42" s="7" customFormat="1" ht="25.5" customHeight="1" x14ac:dyDescent="0.3">
      <c r="A4" s="129" t="s">
        <v>42</v>
      </c>
      <c r="B4" s="130"/>
      <c r="C4" s="127"/>
      <c r="D4" s="8">
        <v>2585</v>
      </c>
      <c r="E4" s="9" t="s">
        <v>10</v>
      </c>
      <c r="F4" s="8">
        <v>1000</v>
      </c>
      <c r="G4" s="9" t="s">
        <v>10</v>
      </c>
      <c r="H4" s="8">
        <v>3500</v>
      </c>
      <c r="I4" s="9" t="s">
        <v>10</v>
      </c>
      <c r="J4" s="10">
        <v>2</v>
      </c>
      <c r="K4" s="11" t="s">
        <v>43</v>
      </c>
      <c r="L4" s="10">
        <v>4</v>
      </c>
      <c r="M4" s="11" t="s">
        <v>44</v>
      </c>
      <c r="N4" s="10">
        <v>1</v>
      </c>
      <c r="O4" s="9" t="s">
        <v>13</v>
      </c>
      <c r="P4" s="10">
        <v>1</v>
      </c>
      <c r="Q4" s="9" t="s">
        <v>13</v>
      </c>
      <c r="R4" s="32">
        <v>125</v>
      </c>
      <c r="S4" s="33" t="s">
        <v>45</v>
      </c>
      <c r="T4" s="131" t="s">
        <v>78</v>
      </c>
      <c r="U4" s="132"/>
      <c r="V4" s="12"/>
      <c r="W4" s="34" t="s">
        <v>46</v>
      </c>
      <c r="X4" s="35">
        <f>F4-118</f>
        <v>882</v>
      </c>
      <c r="Y4" s="36" t="s">
        <v>10</v>
      </c>
      <c r="Z4" s="39" t="s">
        <v>107</v>
      </c>
      <c r="AA4" s="12"/>
      <c r="AB4" s="27"/>
      <c r="AC4" s="27"/>
      <c r="AD4" s="27"/>
      <c r="AE4" s="27"/>
      <c r="AF4" s="27"/>
      <c r="AG4" s="113">
        <v>980</v>
      </c>
      <c r="AH4" s="31"/>
      <c r="AI4" s="12"/>
      <c r="AJ4" s="12"/>
    </row>
    <row r="5" spans="1:42" s="7" customFormat="1" ht="25.5" customHeight="1" x14ac:dyDescent="0.3">
      <c r="A5" s="119" t="s">
        <v>16</v>
      </c>
      <c r="B5" s="121" t="s">
        <v>17</v>
      </c>
      <c r="C5" s="122"/>
      <c r="D5" s="125" t="s">
        <v>18</v>
      </c>
      <c r="E5" s="126"/>
      <c r="F5" s="126"/>
      <c r="G5" s="126"/>
      <c r="H5" s="126"/>
      <c r="I5" s="127"/>
      <c r="J5" s="121" t="s">
        <v>19</v>
      </c>
      <c r="K5" s="122"/>
      <c r="L5" s="128" t="s">
        <v>20</v>
      </c>
      <c r="M5" s="122"/>
      <c r="N5" s="121" t="s">
        <v>21</v>
      </c>
      <c r="O5" s="145"/>
      <c r="P5" s="128" t="s">
        <v>22</v>
      </c>
      <c r="Q5" s="122"/>
      <c r="R5" s="128" t="s">
        <v>23</v>
      </c>
      <c r="S5" s="145"/>
      <c r="T5" s="128" t="s">
        <v>47</v>
      </c>
      <c r="U5" s="148"/>
      <c r="V5" s="12"/>
      <c r="W5" s="34" t="s">
        <v>48</v>
      </c>
      <c r="X5" s="37">
        <v>750</v>
      </c>
      <c r="Y5" s="36" t="s">
        <v>49</v>
      </c>
      <c r="Z5" s="39" t="s">
        <v>113</v>
      </c>
      <c r="AA5" s="12"/>
      <c r="AB5" s="27"/>
      <c r="AC5" s="27"/>
      <c r="AD5" s="27"/>
      <c r="AE5" s="27"/>
      <c r="AF5" s="27"/>
      <c r="AG5" s="41">
        <v>75</v>
      </c>
      <c r="AH5" s="34">
        <v>186</v>
      </c>
      <c r="AI5" s="40">
        <v>1300</v>
      </c>
      <c r="AJ5" s="12"/>
      <c r="AK5" s="12"/>
    </row>
    <row r="6" spans="1:42" s="7" customFormat="1" ht="25.5" customHeight="1" x14ac:dyDescent="0.3">
      <c r="A6" s="120"/>
      <c r="B6" s="123"/>
      <c r="C6" s="124"/>
      <c r="D6" s="150" t="s">
        <v>1</v>
      </c>
      <c r="E6" s="127"/>
      <c r="F6" s="125" t="s">
        <v>2</v>
      </c>
      <c r="G6" s="127"/>
      <c r="H6" s="125" t="s">
        <v>3</v>
      </c>
      <c r="I6" s="127"/>
      <c r="J6" s="123"/>
      <c r="K6" s="124"/>
      <c r="L6" s="123"/>
      <c r="M6" s="124"/>
      <c r="N6" s="146"/>
      <c r="O6" s="147"/>
      <c r="P6" s="123"/>
      <c r="Q6" s="124"/>
      <c r="R6" s="146"/>
      <c r="S6" s="147"/>
      <c r="T6" s="146"/>
      <c r="U6" s="149"/>
      <c r="V6" s="12"/>
      <c r="W6" s="34" t="s">
        <v>50</v>
      </c>
      <c r="X6" s="35">
        <f>ROUNDDOWN((H4-X9)/X5,0)</f>
        <v>4</v>
      </c>
      <c r="Y6" s="36" t="s">
        <v>27</v>
      </c>
      <c r="Z6" s="39" t="s">
        <v>108</v>
      </c>
      <c r="AA6" s="39"/>
      <c r="AB6" s="27"/>
      <c r="AC6" s="27"/>
      <c r="AD6" s="27"/>
      <c r="AE6" s="27"/>
      <c r="AF6" s="27"/>
      <c r="AG6" s="41">
        <v>100</v>
      </c>
      <c r="AH6" s="41">
        <v>211</v>
      </c>
      <c r="AI6" s="40">
        <v>1400</v>
      </c>
      <c r="AJ6" s="39"/>
      <c r="AK6" s="39"/>
    </row>
    <row r="7" spans="1:42" s="7" customFormat="1" ht="25.5" customHeight="1" x14ac:dyDescent="0.3">
      <c r="A7" s="14">
        <v>1</v>
      </c>
      <c r="B7" s="96" t="s">
        <v>96</v>
      </c>
      <c r="C7" s="95" t="s">
        <v>24</v>
      </c>
      <c r="D7" s="16"/>
      <c r="E7" s="9" t="s">
        <v>10</v>
      </c>
      <c r="F7" s="16"/>
      <c r="G7" s="9" t="s">
        <v>10</v>
      </c>
      <c r="H7" s="16">
        <f>H4</f>
        <v>3500</v>
      </c>
      <c r="I7" s="9" t="s">
        <v>10</v>
      </c>
      <c r="J7" s="110">
        <v>1.8</v>
      </c>
      <c r="K7" s="94" t="s">
        <v>25</v>
      </c>
      <c r="L7" s="104">
        <f>IF(B7="85바",243*H7*J7*7.85/10^6,IF(B7="95바",265*H7*J7*7.85/10^6))</f>
        <v>12.017564999999999</v>
      </c>
      <c r="M7" s="9" t="s">
        <v>26</v>
      </c>
      <c r="N7" s="16">
        <f>N4*4+P4*2</f>
        <v>6</v>
      </c>
      <c r="O7" s="9" t="s">
        <v>27</v>
      </c>
      <c r="P7" s="19">
        <f>L7*N7</f>
        <v>72.10539</v>
      </c>
      <c r="Q7" s="9" t="s">
        <v>26</v>
      </c>
      <c r="R7" s="20">
        <f>P7*IF(AND(1.6&lt;J7,J7&lt;2),$AG$4+10,IF(AND(1.4&lt;J7,J7&lt;=1.6),$AG$4+20,IF(J7&lt;=1.4,$AG$4+40,$AG$4)))+IF(B7="85바",150*((243*H7*(IF(J7&lt;=1.8,1.8,J7))*7.85/10^6)*N7),IF(B7="95바",150*((265*H7*(IF(J7&lt;=1.8,1.8,J7))*7.85/10^6)*N7)))+H7/1000*N7*IF(B7="85바",IF(H7&lt;8800,1100,1300),IF(B7="95바",IF(H7&lt;8800,1200,1800)))</f>
        <v>105300.1446</v>
      </c>
      <c r="S7" s="9" t="s">
        <v>8</v>
      </c>
      <c r="T7" s="151"/>
      <c r="U7" s="152"/>
      <c r="V7" s="12"/>
      <c r="W7" s="34" t="s">
        <v>51</v>
      </c>
      <c r="X7" s="35">
        <f>H4-SUM(X8:X9)</f>
        <v>100</v>
      </c>
      <c r="Y7" s="36" t="s">
        <v>10</v>
      </c>
      <c r="Z7" s="39" t="s">
        <v>147</v>
      </c>
      <c r="AA7" s="39"/>
      <c r="AB7" s="27"/>
      <c r="AC7" s="27"/>
      <c r="AD7" s="27"/>
      <c r="AE7" s="27"/>
      <c r="AF7" s="27"/>
      <c r="AG7" s="41">
        <v>125</v>
      </c>
      <c r="AH7" s="41">
        <v>236</v>
      </c>
      <c r="AI7" s="40">
        <v>1500</v>
      </c>
      <c r="AJ7" s="39"/>
      <c r="AK7" s="39"/>
    </row>
    <row r="8" spans="1:42" s="7" customFormat="1" ht="25.5" customHeight="1" x14ac:dyDescent="0.3">
      <c r="A8" s="14">
        <v>2</v>
      </c>
      <c r="B8" s="125" t="s">
        <v>52</v>
      </c>
      <c r="C8" s="142"/>
      <c r="D8" s="16">
        <v>173</v>
      </c>
      <c r="E8" s="9" t="s">
        <v>10</v>
      </c>
      <c r="F8" s="16">
        <v>101</v>
      </c>
      <c r="G8" s="9" t="s">
        <v>10</v>
      </c>
      <c r="H8" s="16"/>
      <c r="I8" s="9" t="s">
        <v>10</v>
      </c>
      <c r="J8" s="42">
        <v>4</v>
      </c>
      <c r="K8" s="94" t="s">
        <v>25</v>
      </c>
      <c r="L8" s="18">
        <f>D8*F8*J8*7.85/10^6</f>
        <v>0.54865219999999992</v>
      </c>
      <c r="M8" s="9" t="s">
        <v>26</v>
      </c>
      <c r="N8" s="16">
        <f>N7</f>
        <v>6</v>
      </c>
      <c r="O8" s="9" t="s">
        <v>27</v>
      </c>
      <c r="P8" s="19">
        <f>L8*N8</f>
        <v>3.2919131999999998</v>
      </c>
      <c r="Q8" s="9" t="s">
        <v>26</v>
      </c>
      <c r="R8" s="20">
        <f>P8*1100+N8*300</f>
        <v>5421.1045199999999</v>
      </c>
      <c r="S8" s="9" t="s">
        <v>8</v>
      </c>
      <c r="T8" s="151"/>
      <c r="U8" s="152"/>
      <c r="V8" s="12"/>
      <c r="W8" s="34" t="s">
        <v>53</v>
      </c>
      <c r="X8" s="35">
        <f>X5*X6</f>
        <v>3000</v>
      </c>
      <c r="Y8" s="36" t="s">
        <v>10</v>
      </c>
      <c r="Z8" s="39" t="s">
        <v>148</v>
      </c>
      <c r="AA8" s="39"/>
      <c r="AB8" s="27"/>
      <c r="AC8" s="27"/>
      <c r="AD8" s="27"/>
      <c r="AE8" s="27"/>
      <c r="AF8" s="27"/>
      <c r="AG8" s="41">
        <v>150</v>
      </c>
      <c r="AH8" s="41">
        <v>261</v>
      </c>
      <c r="AI8" s="40">
        <v>1700</v>
      </c>
      <c r="AJ8" s="39"/>
      <c r="AK8" s="39"/>
    </row>
    <row r="9" spans="1:42" s="7" customFormat="1" ht="25.5" customHeight="1" x14ac:dyDescent="0.3">
      <c r="A9" s="14">
        <v>3</v>
      </c>
      <c r="B9" s="125" t="s">
        <v>54</v>
      </c>
      <c r="C9" s="142"/>
      <c r="D9" s="16">
        <f>IF($B$7="85바",($D$4-95),IF($B$7="95바",($D$4-105)))</f>
        <v>2490</v>
      </c>
      <c r="E9" s="9" t="s">
        <v>10</v>
      </c>
      <c r="F9" s="16"/>
      <c r="G9" s="9" t="s">
        <v>10</v>
      </c>
      <c r="H9" s="16"/>
      <c r="I9" s="9" t="s">
        <v>10</v>
      </c>
      <c r="J9" s="17">
        <v>1.6</v>
      </c>
      <c r="K9" s="94" t="s">
        <v>25</v>
      </c>
      <c r="L9" s="43">
        <f>D9*(VLOOKUP($R$4,$AG$5:$AI$8,2,0))*2*J9*7.85/10^6</f>
        <v>14.761516799999999</v>
      </c>
      <c r="M9" s="9" t="s">
        <v>26</v>
      </c>
      <c r="N9" s="16">
        <f>(N4+P4)*J4*2</f>
        <v>8</v>
      </c>
      <c r="O9" s="9" t="s">
        <v>27</v>
      </c>
      <c r="P9" s="19">
        <f>L9*N9</f>
        <v>118.09213439999999</v>
      </c>
      <c r="Q9" s="9" t="s">
        <v>26</v>
      </c>
      <c r="R9" s="20">
        <f>P9*IF(AND(1.6&lt;J9,J9&lt;2),$AG$4+10,IF(AND(1.4&lt;J9,J9&lt;=1.6),$AG$4+20,IF(J9&lt;=1.4,$AG$4+40,$AG$4)))+(IF(J9&lt;=1.6,(D9*(VLOOKUP($R$4,$AG$5:$AI$8,2,0))*2*1.6*7.85/10^6)*N9,(D9*(VLOOKUP($R$4,$AG$5:$AI$8,2,0))*2*J9*7.85/10^6)*N9)*(120+40)+N9*IF(D9&lt;2990,(VLOOKUP($R$4,$AG$5:$AI$8,3,0)),((VLOOKUP($R$4,$AG$5:$AI$8,3,0))+500)))+(D9+100)*N9*1100/1000</f>
        <v>171778.87590399999</v>
      </c>
      <c r="S9" s="9" t="s">
        <v>8</v>
      </c>
      <c r="T9" s="151"/>
      <c r="U9" s="152"/>
      <c r="V9" s="12"/>
      <c r="W9" s="34" t="s">
        <v>55</v>
      </c>
      <c r="X9" s="37">
        <v>400</v>
      </c>
      <c r="Y9" s="36" t="s">
        <v>10</v>
      </c>
      <c r="Z9" s="39" t="s">
        <v>109</v>
      </c>
      <c r="AA9" s="27"/>
      <c r="AB9" s="27"/>
      <c r="AC9" s="27"/>
      <c r="AD9" s="27"/>
      <c r="AE9" s="27"/>
      <c r="AF9" s="27"/>
      <c r="AG9" s="30"/>
      <c r="AH9" s="45"/>
      <c r="AI9" s="28"/>
    </row>
    <row r="10" spans="1:42" s="7" customFormat="1" ht="25.5" customHeight="1" x14ac:dyDescent="0.3">
      <c r="A10" s="14">
        <v>4</v>
      </c>
      <c r="B10" s="125" t="s">
        <v>56</v>
      </c>
      <c r="C10" s="142"/>
      <c r="D10" s="16">
        <v>101</v>
      </c>
      <c r="E10" s="9" t="s">
        <v>10</v>
      </c>
      <c r="F10" s="16">
        <v>200</v>
      </c>
      <c r="G10" s="9" t="s">
        <v>10</v>
      </c>
      <c r="H10" s="16"/>
      <c r="I10" s="9" t="s">
        <v>10</v>
      </c>
      <c r="J10" s="42">
        <v>4</v>
      </c>
      <c r="K10" s="94" t="s">
        <v>25</v>
      </c>
      <c r="L10" s="18">
        <f>D10*F10*J10*7.85/10^6</f>
        <v>0.63427999999999995</v>
      </c>
      <c r="M10" s="9" t="s">
        <v>26</v>
      </c>
      <c r="N10" s="16">
        <f>N9*2</f>
        <v>16</v>
      </c>
      <c r="O10" s="9" t="s">
        <v>27</v>
      </c>
      <c r="P10" s="19">
        <f>L10*N10</f>
        <v>10.148479999999999</v>
      </c>
      <c r="Q10" s="9" t="s">
        <v>26</v>
      </c>
      <c r="R10" s="20">
        <f>P10*1020+N10*350</f>
        <v>15951.4496</v>
      </c>
      <c r="S10" s="9" t="s">
        <v>8</v>
      </c>
      <c r="T10" s="143"/>
      <c r="U10" s="144"/>
      <c r="V10" s="12"/>
      <c r="W10" s="39"/>
      <c r="Y10" s="5"/>
      <c r="Z10" s="39" t="s">
        <v>103</v>
      </c>
      <c r="AA10" s="5"/>
      <c r="AB10" s="5"/>
      <c r="AC10" s="5"/>
      <c r="AD10" s="5"/>
      <c r="AE10" s="5"/>
      <c r="AF10" s="5"/>
      <c r="AP10" s="44"/>
    </row>
    <row r="11" spans="1:42" s="7" customFormat="1" ht="25.5" customHeight="1" x14ac:dyDescent="0.3">
      <c r="A11" s="14">
        <v>5</v>
      </c>
      <c r="B11" s="96" t="s">
        <v>143</v>
      </c>
      <c r="C11" s="95" t="s">
        <v>97</v>
      </c>
      <c r="D11" s="162" t="s">
        <v>100</v>
      </c>
      <c r="E11" s="163"/>
      <c r="F11" s="155" t="s">
        <v>101</v>
      </c>
      <c r="G11" s="156"/>
      <c r="H11" s="111">
        <f>F4+47-5</f>
        <v>1042</v>
      </c>
      <c r="I11" s="9" t="s">
        <v>10</v>
      </c>
      <c r="J11" s="42">
        <f>IF(B11="HR",1.6,IF(B11="아연도",1.5))</f>
        <v>1.5</v>
      </c>
      <c r="K11" s="94" t="s">
        <v>25</v>
      </c>
      <c r="L11" s="104">
        <f>IF(D11="75*30",135*H11*J11*7.85/10^6,IF(D11="75*45",173*H11*J11*7.85/10^6))</f>
        <v>1.6563892499999999</v>
      </c>
      <c r="M11" s="9" t="s">
        <v>26</v>
      </c>
      <c r="N11" s="16">
        <f>(N4+P4)*J4*L4</f>
        <v>16</v>
      </c>
      <c r="O11" s="9" t="s">
        <v>27</v>
      </c>
      <c r="P11" s="19">
        <f t="shared" ref="P11:P12" si="0">L11*N11</f>
        <v>26.502227999999999</v>
      </c>
      <c r="Q11" s="9" t="s">
        <v>26</v>
      </c>
      <c r="R11" s="20">
        <f>P11*IF(B11="HR",IF(AND(1.6&lt;J11,J11&lt;2),$AG$4+10,IF(AND(1.4&lt;J11,J11&lt;=1.6),$AG$4+20,IF(J11&lt;=1.4,$AG$4+40,$AG$4))),IF(B11="아연도",IF(J11&lt;1,$AG$4+20,$AG$4)+120))+P11*240+N11*400+F4/1000*IF(B11="HR",600,IF(B11="아연도",0))*N11</f>
        <v>41912.985520000002</v>
      </c>
      <c r="S11" s="9" t="s">
        <v>8</v>
      </c>
      <c r="T11" s="157" t="s">
        <v>144</v>
      </c>
      <c r="U11" s="158"/>
      <c r="V11" s="12"/>
      <c r="W11" s="39"/>
      <c r="Y11" s="5"/>
      <c r="Z11" s="39" t="s">
        <v>146</v>
      </c>
      <c r="AA11" s="5"/>
      <c r="AB11" s="5"/>
      <c r="AC11" s="5"/>
      <c r="AD11" s="5"/>
      <c r="AE11" s="5"/>
      <c r="AF11" s="5"/>
      <c r="AJ11" s="27"/>
      <c r="AK11" s="12"/>
      <c r="AP11" s="44"/>
    </row>
    <row r="12" spans="1:42" s="7" customFormat="1" ht="25.5" customHeight="1" x14ac:dyDescent="0.3">
      <c r="A12" s="14">
        <v>6</v>
      </c>
      <c r="B12" s="96" t="s">
        <v>143</v>
      </c>
      <c r="C12" s="95" t="s">
        <v>98</v>
      </c>
      <c r="D12" s="16"/>
      <c r="E12" s="9" t="s">
        <v>10</v>
      </c>
      <c r="F12" s="111">
        <f>IF($B$7="85바",($F$4-125)+50,IF($B$7="95바",($F$4-135)+50))</f>
        <v>925</v>
      </c>
      <c r="G12" s="9" t="s">
        <v>10</v>
      </c>
      <c r="H12" s="16"/>
      <c r="I12" s="9" t="s">
        <v>10</v>
      </c>
      <c r="J12" s="102">
        <f t="shared" ref="J12:J13" si="1">IF(B12="HR",1.6,IF(B12="아연도",1.5))</f>
        <v>1.5</v>
      </c>
      <c r="K12" s="94" t="s">
        <v>25</v>
      </c>
      <c r="L12" s="18">
        <f>93*F12*J12*7.85/10^6</f>
        <v>1.012944375</v>
      </c>
      <c r="M12" s="9" t="s">
        <v>26</v>
      </c>
      <c r="N12" s="16">
        <f>N7</f>
        <v>6</v>
      </c>
      <c r="O12" s="9" t="s">
        <v>27</v>
      </c>
      <c r="P12" s="19">
        <f t="shared" si="0"/>
        <v>6.07766625</v>
      </c>
      <c r="Q12" s="9" t="s">
        <v>26</v>
      </c>
      <c r="R12" s="20">
        <f>P12*IF(B12="HR",IF(AND(1.6&lt;J12,J12&lt;2),$AG$4+10,IF(AND(1.4&lt;J12,J12&lt;=1.6),$AG$4+20,IF(J12&lt;=1.4,$AG$4+40,$AG$4))),IF(B12="아연도",IF(J12&lt;1,$AG$4+20,$AG$4)+120))+P12*240+F12/1000*IF(B12="HR",500,IF(B12="아연도",0))*N12</f>
        <v>8144.0727750000005</v>
      </c>
      <c r="S12" s="9" t="s">
        <v>8</v>
      </c>
      <c r="T12" s="151"/>
      <c r="U12" s="152"/>
      <c r="V12" s="12"/>
      <c r="W12" s="39"/>
      <c r="Y12" s="5"/>
      <c r="Z12" s="39" t="s">
        <v>112</v>
      </c>
      <c r="AA12" s="5"/>
      <c r="AB12" s="5"/>
      <c r="AC12" s="5"/>
      <c r="AD12" s="5"/>
      <c r="AE12" s="5"/>
      <c r="AF12" s="5"/>
      <c r="AJ12" s="27"/>
      <c r="AK12" s="12"/>
      <c r="AP12" s="44"/>
    </row>
    <row r="13" spans="1:42" s="7" customFormat="1" ht="25.5" customHeight="1" x14ac:dyDescent="0.3">
      <c r="A13" s="14">
        <v>7</v>
      </c>
      <c r="B13" s="96" t="str">
        <f>B12</f>
        <v>아연도</v>
      </c>
      <c r="C13" s="95" t="s">
        <v>99</v>
      </c>
      <c r="D13" s="16"/>
      <c r="E13" s="9" t="s">
        <v>10</v>
      </c>
      <c r="F13" s="111">
        <f>IF($B$7="85바",SQRT(($F$4-125)^2+$X$5^2)+50,IF($B$7="95바",SQRT(($F$4-135)^2+$X$5^2)+50))</f>
        <v>1202.443057161611</v>
      </c>
      <c r="G13" s="9" t="s">
        <v>10</v>
      </c>
      <c r="H13" s="16"/>
      <c r="I13" s="9" t="s">
        <v>10</v>
      </c>
      <c r="J13" s="102">
        <f t="shared" si="1"/>
        <v>1.5</v>
      </c>
      <c r="K13" s="94" t="s">
        <v>25</v>
      </c>
      <c r="L13" s="18">
        <f>93*F13*J13*7.85/10^6</f>
        <v>1.3167653308212512</v>
      </c>
      <c r="M13" s="9" t="s">
        <v>26</v>
      </c>
      <c r="N13" s="16">
        <f>N7/2*X6</f>
        <v>12</v>
      </c>
      <c r="O13" s="9" t="s">
        <v>27</v>
      </c>
      <c r="P13" s="19">
        <f>L13*N13</f>
        <v>15.801183969855014</v>
      </c>
      <c r="Q13" s="9" t="s">
        <v>26</v>
      </c>
      <c r="R13" s="20">
        <f>P13*IF(B13="HR",IF(AND(1.6&lt;J13,J13&lt;2),$AG$4+10,IF(AND(1.4&lt;J13,J13&lt;=1.6),$AG$4+20,IF(J13&lt;=1.4,$AG$4+40,$AG$4))),IF(B13="아연도",IF(J13&lt;1,$AG$4+20,$AG$4)+120))+P13*240+F13/1000*IF(B13="HR",500,IF(B13="아연도",0))*N13</f>
        <v>21173.58651960572</v>
      </c>
      <c r="S13" s="9" t="s">
        <v>8</v>
      </c>
      <c r="T13" s="151"/>
      <c r="U13" s="152"/>
      <c r="V13" s="12"/>
      <c r="W13" s="39"/>
      <c r="Y13" s="5"/>
      <c r="Z13" s="55" t="s">
        <v>149</v>
      </c>
      <c r="AA13" s="5"/>
      <c r="AB13" s="5"/>
      <c r="AC13" s="5"/>
      <c r="AD13" s="5"/>
      <c r="AE13" s="5"/>
      <c r="AF13" s="5"/>
      <c r="AJ13" s="27"/>
      <c r="AK13" s="12"/>
      <c r="AO13" s="44"/>
      <c r="AP13" s="44"/>
    </row>
    <row r="14" spans="1:42" s="7" customFormat="1" ht="25.5" customHeight="1" x14ac:dyDescent="0.3">
      <c r="A14" s="14">
        <v>8</v>
      </c>
      <c r="B14" s="125" t="s">
        <v>57</v>
      </c>
      <c r="C14" s="142"/>
      <c r="D14" s="159" t="s">
        <v>58</v>
      </c>
      <c r="E14" s="160"/>
      <c r="F14" s="160"/>
      <c r="G14" s="160"/>
      <c r="H14" s="160"/>
      <c r="I14" s="161"/>
      <c r="J14" s="19">
        <v>1.4</v>
      </c>
      <c r="K14" s="94" t="s">
        <v>25</v>
      </c>
      <c r="L14" s="18">
        <f>0.566*6/124</f>
        <v>2.7387096774193549E-2</v>
      </c>
      <c r="M14" s="9" t="s">
        <v>26</v>
      </c>
      <c r="N14" s="16">
        <f>N7</f>
        <v>6</v>
      </c>
      <c r="O14" s="9" t="s">
        <v>27</v>
      </c>
      <c r="P14" s="19"/>
      <c r="Q14" s="9"/>
      <c r="R14" s="20">
        <f>N14*120</f>
        <v>720</v>
      </c>
      <c r="S14" s="9" t="s">
        <v>8</v>
      </c>
      <c r="T14" s="151"/>
      <c r="U14" s="152"/>
      <c r="V14" s="5"/>
      <c r="W14" s="5"/>
      <c r="X14" s="5"/>
      <c r="Y14" s="5"/>
      <c r="Z14" s="39" t="s">
        <v>111</v>
      </c>
      <c r="AA14" s="5"/>
      <c r="AB14" s="5"/>
      <c r="AC14" s="5"/>
      <c r="AD14" s="5"/>
      <c r="AE14" s="5"/>
      <c r="AF14" s="5"/>
      <c r="AJ14" s="27"/>
      <c r="AK14" s="5"/>
      <c r="AP14" s="44"/>
    </row>
    <row r="15" spans="1:42" s="7" customFormat="1" ht="25.5" customHeight="1" x14ac:dyDescent="0.3">
      <c r="A15" s="14">
        <v>9</v>
      </c>
      <c r="B15" s="125" t="s">
        <v>59</v>
      </c>
      <c r="C15" s="142"/>
      <c r="D15" s="16">
        <v>130</v>
      </c>
      <c r="E15" s="9" t="s">
        <v>10</v>
      </c>
      <c r="F15" s="16">
        <v>100</v>
      </c>
      <c r="G15" s="9" t="s">
        <v>10</v>
      </c>
      <c r="H15" s="16"/>
      <c r="I15" s="9" t="s">
        <v>10</v>
      </c>
      <c r="J15" s="19">
        <v>1.2</v>
      </c>
      <c r="K15" s="94" t="s">
        <v>25</v>
      </c>
      <c r="L15" s="18">
        <f>D15*F15*J15*7.85/10^6</f>
        <v>0.12246</v>
      </c>
      <c r="M15" s="9" t="s">
        <v>26</v>
      </c>
      <c r="N15" s="16">
        <f>N7*2</f>
        <v>12</v>
      </c>
      <c r="O15" s="9" t="s">
        <v>27</v>
      </c>
      <c r="P15" s="19"/>
      <c r="Q15" s="9"/>
      <c r="R15" s="20">
        <f>N15*270</f>
        <v>3240</v>
      </c>
      <c r="S15" s="9" t="s">
        <v>8</v>
      </c>
      <c r="T15" s="151"/>
      <c r="U15" s="152"/>
      <c r="V15" s="12"/>
      <c r="W15" s="12"/>
      <c r="X15" s="5"/>
      <c r="Y15" s="5"/>
      <c r="Z15" s="39" t="s">
        <v>136</v>
      </c>
      <c r="AA15" s="5"/>
      <c r="AB15" s="5"/>
      <c r="AC15" s="5"/>
      <c r="AD15" s="5"/>
      <c r="AE15" s="5"/>
      <c r="AF15" s="5"/>
      <c r="AJ15" s="27"/>
      <c r="AK15" s="12"/>
      <c r="AP15" s="44"/>
    </row>
    <row r="16" spans="1:42" s="7" customFormat="1" ht="25.5" customHeight="1" x14ac:dyDescent="0.3">
      <c r="A16" s="14">
        <v>10</v>
      </c>
      <c r="B16" s="125" t="s">
        <v>36</v>
      </c>
      <c r="C16" s="142"/>
      <c r="D16" s="154" t="s">
        <v>31</v>
      </c>
      <c r="E16" s="155"/>
      <c r="F16" s="155"/>
      <c r="G16" s="155"/>
      <c r="H16" s="155"/>
      <c r="I16" s="155"/>
      <c r="J16" s="155"/>
      <c r="K16" s="155"/>
      <c r="L16" s="155"/>
      <c r="M16" s="156"/>
      <c r="N16" s="16">
        <f>N9*2</f>
        <v>16</v>
      </c>
      <c r="O16" s="9" t="s">
        <v>27</v>
      </c>
      <c r="P16" s="19"/>
      <c r="Q16" s="9"/>
      <c r="R16" s="20">
        <f>N16*110</f>
        <v>1760</v>
      </c>
      <c r="S16" s="9" t="s">
        <v>8</v>
      </c>
      <c r="T16" s="151"/>
      <c r="U16" s="152"/>
      <c r="V16" s="12"/>
      <c r="W16" s="39"/>
      <c r="X16" s="5"/>
      <c r="Y16" s="5"/>
      <c r="Z16" s="39" t="s">
        <v>137</v>
      </c>
      <c r="AA16" s="5"/>
      <c r="AB16" s="5"/>
      <c r="AC16" s="5"/>
      <c r="AD16" s="5"/>
      <c r="AE16" s="5"/>
      <c r="AF16" s="5"/>
      <c r="AG16" s="12"/>
      <c r="AJ16" s="27"/>
      <c r="AK16" s="12"/>
      <c r="AP16" s="44"/>
    </row>
    <row r="17" spans="1:42" s="7" customFormat="1" ht="25.5" customHeight="1" x14ac:dyDescent="0.3">
      <c r="A17" s="14">
        <v>11</v>
      </c>
      <c r="B17" s="125" t="s">
        <v>60</v>
      </c>
      <c r="C17" s="142"/>
      <c r="D17" s="154" t="s">
        <v>61</v>
      </c>
      <c r="E17" s="155"/>
      <c r="F17" s="155"/>
      <c r="G17" s="155"/>
      <c r="H17" s="155"/>
      <c r="I17" s="155"/>
      <c r="J17" s="155"/>
      <c r="K17" s="155"/>
      <c r="L17" s="155"/>
      <c r="M17" s="156"/>
      <c r="N17" s="16">
        <f>N8*2</f>
        <v>12</v>
      </c>
      <c r="O17" s="9" t="s">
        <v>27</v>
      </c>
      <c r="P17" s="19"/>
      <c r="Q17" s="9"/>
      <c r="R17" s="20">
        <f>N17*110</f>
        <v>1320</v>
      </c>
      <c r="S17" s="9" t="s">
        <v>8</v>
      </c>
      <c r="T17" s="151"/>
      <c r="U17" s="152"/>
      <c r="V17" s="12"/>
      <c r="W17" s="39"/>
      <c r="X17" s="5"/>
      <c r="Y17" s="5"/>
      <c r="Z17" s="39" t="s">
        <v>138</v>
      </c>
      <c r="AA17" s="5"/>
      <c r="AB17" s="5"/>
      <c r="AC17" s="5"/>
      <c r="AD17" s="5"/>
      <c r="AE17" s="5"/>
      <c r="AF17" s="5"/>
      <c r="AJ17" s="27"/>
      <c r="AK17" s="12"/>
      <c r="AP17" s="44"/>
    </row>
    <row r="18" spans="1:42" s="7" customFormat="1" ht="25.5" customHeight="1" x14ac:dyDescent="0.3">
      <c r="A18" s="14">
        <v>12</v>
      </c>
      <c r="B18" s="125" t="s">
        <v>60</v>
      </c>
      <c r="C18" s="142"/>
      <c r="D18" s="154" t="s">
        <v>62</v>
      </c>
      <c r="E18" s="155"/>
      <c r="F18" s="155"/>
      <c r="G18" s="155"/>
      <c r="H18" s="155"/>
      <c r="I18" s="155"/>
      <c r="J18" s="155"/>
      <c r="K18" s="155"/>
      <c r="L18" s="155"/>
      <c r="M18" s="156"/>
      <c r="N18" s="16">
        <f>N7/2*(X6+3)</f>
        <v>21</v>
      </c>
      <c r="O18" s="9" t="s">
        <v>27</v>
      </c>
      <c r="P18" s="19"/>
      <c r="Q18" s="9"/>
      <c r="R18" s="20">
        <f>N18*130</f>
        <v>2730</v>
      </c>
      <c r="S18" s="9" t="s">
        <v>8</v>
      </c>
      <c r="T18" s="151"/>
      <c r="U18" s="152"/>
      <c r="V18" s="12"/>
      <c r="W18" s="39"/>
      <c r="X18" s="5"/>
      <c r="Y18" s="5"/>
      <c r="Z18" s="55" t="s">
        <v>15</v>
      </c>
      <c r="AA18" s="5"/>
      <c r="AB18" s="5"/>
      <c r="AC18" s="5"/>
      <c r="AD18" s="5"/>
      <c r="AE18" s="5"/>
      <c r="AF18" s="46"/>
      <c r="AJ18" s="27"/>
      <c r="AK18" s="12"/>
      <c r="AP18" s="44"/>
    </row>
    <row r="19" spans="1:42" s="7" customFormat="1" ht="25.5" customHeight="1" x14ac:dyDescent="0.3">
      <c r="A19" s="14">
        <v>13</v>
      </c>
      <c r="B19" s="125" t="s">
        <v>63</v>
      </c>
      <c r="C19" s="142"/>
      <c r="D19" s="154" t="s">
        <v>64</v>
      </c>
      <c r="E19" s="155"/>
      <c r="F19" s="155"/>
      <c r="G19" s="155"/>
      <c r="H19" s="155"/>
      <c r="I19" s="155"/>
      <c r="J19" s="155"/>
      <c r="K19" s="155"/>
      <c r="L19" s="155"/>
      <c r="M19" s="156"/>
      <c r="N19" s="16">
        <f>N8*1</f>
        <v>6</v>
      </c>
      <c r="O19" s="9" t="s">
        <v>27</v>
      </c>
      <c r="P19" s="19"/>
      <c r="Q19" s="9"/>
      <c r="R19" s="20">
        <f>N19*280</f>
        <v>1680</v>
      </c>
      <c r="S19" s="9" t="s">
        <v>8</v>
      </c>
      <c r="T19" s="151"/>
      <c r="U19" s="152"/>
      <c r="V19" s="12"/>
      <c r="W19" s="21" t="s">
        <v>32</v>
      </c>
      <c r="X19" s="21" t="s">
        <v>33</v>
      </c>
      <c r="Y19" s="21" t="s">
        <v>34</v>
      </c>
      <c r="Z19" s="21" t="s">
        <v>35</v>
      </c>
      <c r="AA19" s="46"/>
      <c r="AB19" s="46"/>
      <c r="AC19" s="46"/>
      <c r="AD19" s="46"/>
      <c r="AE19" s="46"/>
      <c r="AF19" s="46"/>
      <c r="AH19" s="27"/>
      <c r="AI19" s="53"/>
      <c r="AJ19" s="47"/>
      <c r="AK19" s="12"/>
      <c r="AO19" s="44"/>
      <c r="AP19" s="44"/>
    </row>
    <row r="20" spans="1:42" s="7" customFormat="1" ht="25.5" customHeight="1" thickBot="1" x14ac:dyDescent="0.35">
      <c r="A20" s="14">
        <v>14</v>
      </c>
      <c r="B20" s="164" t="s">
        <v>37</v>
      </c>
      <c r="C20" s="165"/>
      <c r="D20" s="166" t="s">
        <v>31</v>
      </c>
      <c r="E20" s="167"/>
      <c r="F20" s="167"/>
      <c r="G20" s="167"/>
      <c r="H20" s="167"/>
      <c r="I20" s="167"/>
      <c r="J20" s="167"/>
      <c r="K20" s="167"/>
      <c r="L20" s="167"/>
      <c r="M20" s="168"/>
      <c r="N20" s="16"/>
      <c r="O20" s="9"/>
      <c r="P20" s="19">
        <f>SUM(P7:P19)*3%</f>
        <v>7.5605698745956493</v>
      </c>
      <c r="Q20" s="9" t="s">
        <v>26</v>
      </c>
      <c r="R20" s="20">
        <f>P20*$AG$4</f>
        <v>7409.3584771037367</v>
      </c>
      <c r="S20" s="9" t="s">
        <v>8</v>
      </c>
      <c r="T20" s="169"/>
      <c r="U20" s="170"/>
      <c r="V20" s="5"/>
      <c r="W20" s="21" t="s">
        <v>5</v>
      </c>
      <c r="X20" s="21">
        <f>N4</f>
        <v>1</v>
      </c>
      <c r="Y20" s="21"/>
      <c r="Z20" s="21">
        <f>X20*Y20</f>
        <v>0</v>
      </c>
      <c r="AA20" s="46"/>
      <c r="AB20" s="46"/>
      <c r="AC20" s="46"/>
      <c r="AD20" s="46"/>
      <c r="AE20" s="46"/>
      <c r="AF20" s="46"/>
      <c r="AG20" s="55"/>
      <c r="AH20" s="27"/>
      <c r="AI20" s="53"/>
      <c r="AJ20" s="48"/>
      <c r="AK20" s="12"/>
      <c r="AP20" s="44"/>
    </row>
    <row r="21" spans="1:42" s="7" customFormat="1" ht="25.5" customHeight="1" thickTop="1" thickBot="1" x14ac:dyDescent="0.35">
      <c r="A21" s="171" t="s">
        <v>38</v>
      </c>
      <c r="B21" s="172"/>
      <c r="C21" s="172"/>
      <c r="D21" s="172"/>
      <c r="E21" s="172"/>
      <c r="F21" s="172"/>
      <c r="G21" s="172"/>
      <c r="H21" s="172"/>
      <c r="I21" s="172"/>
      <c r="J21" s="172"/>
      <c r="K21" s="172"/>
      <c r="L21" s="172"/>
      <c r="M21" s="173"/>
      <c r="N21" s="22">
        <f>SUM(N7:N20)</f>
        <v>143</v>
      </c>
      <c r="O21" s="23" t="s">
        <v>27</v>
      </c>
      <c r="P21" s="24">
        <f>SUM(P7:P20)</f>
        <v>259.57956569445065</v>
      </c>
      <c r="Q21" s="23" t="s">
        <v>26</v>
      </c>
      <c r="R21" s="49">
        <f>MROUND((SUM(R7:R20)+SUM(R7:R20)*T21%),10)</f>
        <v>427400</v>
      </c>
      <c r="S21" s="50" t="s">
        <v>8</v>
      </c>
      <c r="T21" s="51">
        <v>10</v>
      </c>
      <c r="U21" s="52" t="s">
        <v>65</v>
      </c>
      <c r="V21" s="5"/>
      <c r="W21" s="21" t="s">
        <v>6</v>
      </c>
      <c r="X21" s="21">
        <f>P4</f>
        <v>1</v>
      </c>
      <c r="Y21" s="21"/>
      <c r="Z21" s="21">
        <f>X21*Y21</f>
        <v>0</v>
      </c>
      <c r="AA21" s="46"/>
      <c r="AB21" s="46"/>
      <c r="AC21" s="46"/>
      <c r="AD21" s="46"/>
      <c r="AE21" s="46"/>
      <c r="AF21" s="46"/>
      <c r="AH21" s="56"/>
      <c r="AI21" s="28"/>
      <c r="AJ21" s="47"/>
      <c r="AK21" s="54"/>
      <c r="AL21" s="3"/>
      <c r="AP21" s="44"/>
    </row>
    <row r="22" spans="1:42" s="7" customFormat="1" ht="25.5" customHeight="1" x14ac:dyDescent="0.3">
      <c r="A22" s="2"/>
      <c r="B22" s="2"/>
      <c r="C22" s="2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5"/>
      <c r="W22" s="174" t="s">
        <v>39</v>
      </c>
      <c r="X22" s="175"/>
      <c r="Y22" s="176"/>
      <c r="Z22" s="21">
        <f>SUM(Z20:Z21)</f>
        <v>0</v>
      </c>
      <c r="AA22" s="46"/>
      <c r="AB22" s="46"/>
      <c r="AC22" s="46"/>
      <c r="AD22" s="46"/>
      <c r="AE22" s="46"/>
      <c r="AF22" s="5"/>
      <c r="AH22" s="56"/>
      <c r="AI22" s="28"/>
      <c r="AJ22" s="47"/>
      <c r="AK22" s="54"/>
      <c r="AL22" s="3"/>
      <c r="AM22" s="3"/>
      <c r="AP22" s="44"/>
    </row>
    <row r="23" spans="1:42" s="7" customFormat="1" ht="25.5" customHeight="1" x14ac:dyDescent="0.3">
      <c r="A23" s="2"/>
      <c r="B23" s="2"/>
      <c r="C23" s="2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H23" s="27"/>
      <c r="AI23" s="53"/>
      <c r="AJ23" s="47"/>
      <c r="AK23" s="12"/>
      <c r="AL23" s="3"/>
      <c r="AM23" s="3"/>
      <c r="AP23" s="44"/>
    </row>
    <row r="24" spans="1:42" s="7" customFormat="1" ht="25.5" customHeight="1" x14ac:dyDescent="0.3">
      <c r="A24" s="2"/>
      <c r="B24" s="2"/>
      <c r="C24" s="2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27"/>
      <c r="AI24" s="53"/>
      <c r="AJ24" s="47"/>
      <c r="AK24" s="12"/>
      <c r="AL24" s="3"/>
      <c r="AM24" s="3"/>
      <c r="AP24" s="44"/>
    </row>
    <row r="25" spans="1:42" s="7" customFormat="1" ht="25.5" customHeight="1" x14ac:dyDescent="0.3">
      <c r="A25" s="2"/>
      <c r="B25" s="2"/>
      <c r="C25" s="2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27"/>
      <c r="AI25" s="53"/>
      <c r="AJ25" s="47"/>
      <c r="AK25" s="12"/>
      <c r="AL25" s="3"/>
      <c r="AM25" s="3"/>
      <c r="AN25" s="3"/>
      <c r="AP25" s="44"/>
    </row>
    <row r="26" spans="1:42" ht="25.5" customHeight="1" x14ac:dyDescent="0.3">
      <c r="AK26" s="7"/>
      <c r="AL26" s="7"/>
      <c r="AO26" s="44"/>
      <c r="AP26" s="44"/>
    </row>
    <row r="27" spans="1:42" ht="25.5" customHeight="1" x14ac:dyDescent="0.3">
      <c r="AG27" s="54"/>
      <c r="AK27" s="12"/>
      <c r="AL27" s="7"/>
      <c r="AM27" s="7"/>
      <c r="AN27" s="7"/>
      <c r="AO27" s="7"/>
      <c r="AP27" s="44"/>
    </row>
    <row r="28" spans="1:42" ht="25.5" customHeight="1" x14ac:dyDescent="0.3">
      <c r="AG28" s="54"/>
      <c r="AK28" s="54"/>
      <c r="AL28" s="57"/>
      <c r="AM28" s="7"/>
      <c r="AN28" s="7"/>
      <c r="AO28" s="7"/>
      <c r="AP28" s="44"/>
    </row>
    <row r="29" spans="1:42" ht="25.5" customHeight="1" x14ac:dyDescent="0.3">
      <c r="AK29" s="12"/>
      <c r="AL29" s="57"/>
      <c r="AM29" s="57"/>
      <c r="AP29" s="44"/>
    </row>
    <row r="30" spans="1:42" ht="25.5" customHeight="1" x14ac:dyDescent="0.3">
      <c r="AG30" s="27"/>
      <c r="AK30" s="12"/>
      <c r="AL30" s="57"/>
      <c r="AM30" s="57"/>
      <c r="AP30" s="44"/>
    </row>
    <row r="31" spans="1:42" s="4" customFormat="1" ht="25.5" customHeight="1" x14ac:dyDescent="0.3">
      <c r="A31" s="2"/>
      <c r="B31" s="2"/>
      <c r="C31" s="2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27"/>
      <c r="AH31" s="27"/>
      <c r="AI31" s="53"/>
      <c r="AJ31" s="47"/>
      <c r="AK31" s="12"/>
      <c r="AL31" s="3"/>
      <c r="AM31" s="57"/>
      <c r="AO31" s="44"/>
      <c r="AP31" s="44"/>
    </row>
    <row r="32" spans="1:42" ht="25.5" customHeight="1" x14ac:dyDescent="0.3">
      <c r="AG32" s="27"/>
      <c r="AL32" s="7"/>
      <c r="AO32" s="44"/>
    </row>
    <row r="33" spans="1:42" ht="25.5" customHeight="1" x14ac:dyDescent="0.3">
      <c r="AG33" s="27"/>
      <c r="AL33" s="7"/>
      <c r="AM33" s="7"/>
      <c r="AN33" s="7"/>
      <c r="AO33" s="7"/>
    </row>
    <row r="34" spans="1:42" ht="25.5" customHeight="1" x14ac:dyDescent="0.3">
      <c r="AG34" s="27"/>
      <c r="AL34" s="7"/>
      <c r="AM34" s="7"/>
      <c r="AN34" s="7"/>
      <c r="AO34" s="7"/>
    </row>
    <row r="35" spans="1:42" s="6" customFormat="1" ht="25.5" customHeight="1" x14ac:dyDescent="0.3">
      <c r="A35" s="2"/>
      <c r="B35" s="2"/>
      <c r="C35" s="2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27"/>
      <c r="AH35" s="27"/>
      <c r="AI35" s="53"/>
      <c r="AJ35" s="47"/>
      <c r="AK35" s="47"/>
      <c r="AL35" s="25"/>
      <c r="AM35" s="7"/>
      <c r="AN35" s="7"/>
      <c r="AO35" s="7"/>
      <c r="AP35" s="3"/>
    </row>
    <row r="36" spans="1:42" s="6" customFormat="1" ht="25.5" customHeight="1" x14ac:dyDescent="0.3">
      <c r="A36" s="2"/>
      <c r="B36" s="2"/>
      <c r="C36" s="2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27"/>
      <c r="AI36" s="53"/>
      <c r="AJ36" s="47"/>
      <c r="AK36" s="47"/>
      <c r="AL36" s="25"/>
      <c r="AM36" s="3"/>
      <c r="AN36" s="3"/>
      <c r="AO36" s="3"/>
      <c r="AP36" s="3"/>
    </row>
    <row r="37" spans="1:42" s="6" customFormat="1" ht="25.5" customHeight="1" x14ac:dyDescent="0.3">
      <c r="A37" s="2"/>
      <c r="B37" s="2"/>
      <c r="C37" s="2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27"/>
      <c r="AI37" s="53"/>
      <c r="AJ37" s="47"/>
      <c r="AK37" s="47"/>
      <c r="AL37" s="25"/>
      <c r="AM37" s="3"/>
      <c r="AN37" s="3"/>
      <c r="AO37" s="3"/>
      <c r="AP37" s="3"/>
    </row>
    <row r="38" spans="1:42" s="6" customFormat="1" ht="25.5" customHeight="1" x14ac:dyDescent="0.3">
      <c r="A38" s="2"/>
      <c r="B38" s="2"/>
      <c r="C38" s="2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27"/>
      <c r="AI38" s="53"/>
      <c r="AJ38" s="47"/>
      <c r="AK38" s="47"/>
      <c r="AL38" s="25"/>
      <c r="AM38" s="3"/>
      <c r="AN38" s="3"/>
      <c r="AO38" s="3"/>
      <c r="AP38" s="3"/>
    </row>
    <row r="39" spans="1:42" s="6" customFormat="1" ht="25.5" customHeight="1" x14ac:dyDescent="0.3">
      <c r="A39" s="2"/>
      <c r="B39" s="2"/>
      <c r="C39" s="2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27"/>
      <c r="AI39" s="53"/>
      <c r="AJ39" s="47"/>
      <c r="AK39" s="47"/>
      <c r="AL39" s="25"/>
      <c r="AM39" s="3"/>
      <c r="AN39" s="3"/>
      <c r="AO39" s="3"/>
      <c r="AP39" s="3"/>
    </row>
    <row r="40" spans="1:42" s="6" customFormat="1" ht="25.5" customHeight="1" x14ac:dyDescent="0.3">
      <c r="A40" s="2"/>
      <c r="B40" s="2"/>
      <c r="C40" s="2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27"/>
      <c r="AI40" s="53"/>
      <c r="AJ40" s="47"/>
      <c r="AK40" s="47"/>
      <c r="AL40" s="25"/>
      <c r="AM40" s="3"/>
      <c r="AN40" s="3"/>
      <c r="AO40" s="3"/>
      <c r="AP40" s="3"/>
    </row>
  </sheetData>
  <mergeCells count="58">
    <mergeCell ref="B20:C20"/>
    <mergeCell ref="D20:M20"/>
    <mergeCell ref="T20:U20"/>
    <mergeCell ref="A21:M21"/>
    <mergeCell ref="W22:Y22"/>
    <mergeCell ref="F11:G11"/>
    <mergeCell ref="B18:C18"/>
    <mergeCell ref="D18:M18"/>
    <mergeCell ref="T18:U18"/>
    <mergeCell ref="B19:C19"/>
    <mergeCell ref="D19:M19"/>
    <mergeCell ref="T19:U19"/>
    <mergeCell ref="R3:S3"/>
    <mergeCell ref="B17:C17"/>
    <mergeCell ref="D17:M17"/>
    <mergeCell ref="T17:U17"/>
    <mergeCell ref="T11:U11"/>
    <mergeCell ref="T12:U12"/>
    <mergeCell ref="T13:U13"/>
    <mergeCell ref="B14:C14"/>
    <mergeCell ref="D14:I14"/>
    <mergeCell ref="T14:U14"/>
    <mergeCell ref="B15:C15"/>
    <mergeCell ref="T15:U15"/>
    <mergeCell ref="B16:C16"/>
    <mergeCell ref="D16:M16"/>
    <mergeCell ref="T16:U16"/>
    <mergeCell ref="D11:E11"/>
    <mergeCell ref="B10:C10"/>
    <mergeCell ref="T10:U10"/>
    <mergeCell ref="P5:Q6"/>
    <mergeCell ref="R5:S6"/>
    <mergeCell ref="T5:U6"/>
    <mergeCell ref="D6:E6"/>
    <mergeCell ref="F6:G6"/>
    <mergeCell ref="H6:I6"/>
    <mergeCell ref="N5:O6"/>
    <mergeCell ref="T7:U7"/>
    <mergeCell ref="B8:C8"/>
    <mergeCell ref="T8:U8"/>
    <mergeCell ref="B9:C9"/>
    <mergeCell ref="T9:U9"/>
    <mergeCell ref="T3:U3"/>
    <mergeCell ref="A5:A6"/>
    <mergeCell ref="B5:C6"/>
    <mergeCell ref="D5:I5"/>
    <mergeCell ref="J5:K6"/>
    <mergeCell ref="L5:M6"/>
    <mergeCell ref="A4:C4"/>
    <mergeCell ref="T4:U4"/>
    <mergeCell ref="A3:C3"/>
    <mergeCell ref="D3:E3"/>
    <mergeCell ref="F3:G3"/>
    <mergeCell ref="H3:I3"/>
    <mergeCell ref="J3:K3"/>
    <mergeCell ref="L3:M3"/>
    <mergeCell ref="N3:O3"/>
    <mergeCell ref="P3:Q3"/>
  </mergeCells>
  <phoneticPr fontId="3" type="noConversion"/>
  <dataValidations count="5">
    <dataValidation type="list" allowBlank="1" showInputMessage="1" showErrorMessage="1" sqref="J9" xr:uid="{9E15F60A-5E4F-40AA-9D63-29EDA8749F7C}">
      <formula1>"1.4,1.6,2.0"</formula1>
    </dataValidation>
    <dataValidation type="list" allowBlank="1" showInputMessage="1" showErrorMessage="1" sqref="R4" xr:uid="{EC410FB2-AB8A-421C-A644-252F5873EEF5}">
      <formula1>"75,100,125,150"</formula1>
    </dataValidation>
    <dataValidation type="list" allowBlank="1" showInputMessage="1" showErrorMessage="1" sqref="B11:B12" xr:uid="{9BDE4022-EAC9-4831-B9AC-BF133445D06C}">
      <formula1>"HR,아연도"</formula1>
    </dataValidation>
    <dataValidation type="list" allowBlank="1" showInputMessage="1" showErrorMessage="1" sqref="B7" xr:uid="{D076ADBD-7B60-494D-85B7-914CA557FB7D}">
      <formula1>"85바,95바"</formula1>
    </dataValidation>
    <dataValidation type="list" allowBlank="1" showInputMessage="1" showErrorMessage="1" sqref="D11:E11" xr:uid="{E42084CF-F2BF-4B9E-8636-EC578629D7DC}">
      <formula1>"75*30,75*45"</formula1>
    </dataValidation>
  </dataValidations>
  <printOptions horizontalCentered="1" verticalCentered="1"/>
  <pageMargins left="0.19685039370078741" right="0.19685039370078741" top="0.55118110236220474" bottom="0.35433070866141736" header="0.11811023622047245" footer="0.11811023622047245"/>
  <pageSetup paperSize="9" scale="92" orientation="landscape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03EE8-B59F-465F-A001-657F54E5805C}">
  <sheetPr>
    <pageSetUpPr fitToPage="1"/>
  </sheetPr>
  <dimension ref="A1:AR39"/>
  <sheetViews>
    <sheetView view="pageBreakPreview" zoomScale="85" zoomScaleNormal="85" zoomScaleSheetLayoutView="85" workbookViewId="0">
      <selection activeCell="W18" sqref="W18"/>
    </sheetView>
  </sheetViews>
  <sheetFormatPr defaultColWidth="9" defaultRowHeight="24.75" customHeight="1" x14ac:dyDescent="0.3"/>
  <cols>
    <col min="1" max="1" width="6.375" style="2" customWidth="1"/>
    <col min="2" max="2" width="7.75" style="2" customWidth="1"/>
    <col min="3" max="3" width="11.75" style="2" customWidth="1"/>
    <col min="4" max="4" width="6.75" style="3" customWidth="1"/>
    <col min="5" max="5" width="4.375" style="3" customWidth="1"/>
    <col min="6" max="6" width="6.75" style="3" customWidth="1"/>
    <col min="7" max="7" width="4.375" style="3" customWidth="1"/>
    <col min="8" max="8" width="6.75" style="3" customWidth="1"/>
    <col min="9" max="9" width="4.375" style="3" customWidth="1"/>
    <col min="10" max="10" width="7.875" style="3" customWidth="1"/>
    <col min="11" max="11" width="4.375" style="3" customWidth="1"/>
    <col min="12" max="12" width="7.875" style="3" customWidth="1"/>
    <col min="13" max="13" width="4.375" style="3" customWidth="1"/>
    <col min="14" max="14" width="8.125" style="3" customWidth="1"/>
    <col min="15" max="15" width="4.375" style="3" customWidth="1"/>
    <col min="16" max="16" width="9.5" style="3" customWidth="1"/>
    <col min="17" max="17" width="4.375" style="3" customWidth="1"/>
    <col min="18" max="18" width="12.5" style="3" customWidth="1"/>
    <col min="19" max="19" width="4.875" style="3" customWidth="1"/>
    <col min="20" max="20" width="11.375" style="3" customWidth="1"/>
    <col min="21" max="21" width="5.5" style="3" customWidth="1"/>
    <col min="22" max="22" width="13.125" style="5" customWidth="1"/>
    <col min="23" max="23" width="14.75" style="5" customWidth="1"/>
    <col min="24" max="32" width="13.125" style="5" customWidth="1"/>
    <col min="33" max="33" width="12.875" style="5" hidden="1" customWidth="1"/>
    <col min="34" max="34" width="9.75" style="27" hidden="1" customWidth="1"/>
    <col min="35" max="35" width="9.75" style="53" hidden="1" customWidth="1"/>
    <col min="36" max="37" width="9" style="47" customWidth="1"/>
    <col min="38" max="38" width="9" style="25"/>
    <col min="39" max="16384" width="9" style="3"/>
  </cols>
  <sheetData>
    <row r="1" spans="1:42" s="5" customFormat="1" ht="24.75" customHeight="1" x14ac:dyDescent="0.3">
      <c r="A1" s="1" t="s">
        <v>155</v>
      </c>
      <c r="B1" s="1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26"/>
      <c r="T1" s="3"/>
      <c r="U1" s="3"/>
      <c r="AH1" s="27"/>
      <c r="AI1" s="28"/>
      <c r="AJ1" s="27"/>
      <c r="AK1" s="27"/>
      <c r="AL1" s="4"/>
    </row>
    <row r="2" spans="1:42" s="5" customFormat="1" ht="24.75" customHeight="1" thickBot="1" x14ac:dyDescent="0.35">
      <c r="A2" s="1"/>
      <c r="B2" s="1"/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26"/>
      <c r="T2" s="3"/>
      <c r="U2" s="3"/>
      <c r="Z2" s="39" t="s">
        <v>110</v>
      </c>
      <c r="AH2" s="27"/>
      <c r="AI2" s="28"/>
      <c r="AJ2" s="27"/>
      <c r="AK2" s="27"/>
      <c r="AL2" s="4"/>
    </row>
    <row r="3" spans="1:42" s="7" customFormat="1" ht="24.75" customHeight="1" x14ac:dyDescent="0.3">
      <c r="A3" s="133" t="s">
        <v>0</v>
      </c>
      <c r="B3" s="134"/>
      <c r="C3" s="135"/>
      <c r="D3" s="136" t="s">
        <v>1</v>
      </c>
      <c r="E3" s="135"/>
      <c r="F3" s="137" t="s">
        <v>2</v>
      </c>
      <c r="G3" s="135"/>
      <c r="H3" s="137" t="s">
        <v>3</v>
      </c>
      <c r="I3" s="135"/>
      <c r="J3" s="138" t="s">
        <v>104</v>
      </c>
      <c r="K3" s="139"/>
      <c r="L3" s="140" t="s">
        <v>105</v>
      </c>
      <c r="M3" s="139"/>
      <c r="N3" s="140" t="s">
        <v>5</v>
      </c>
      <c r="O3" s="141"/>
      <c r="P3" s="140" t="s">
        <v>6</v>
      </c>
      <c r="Q3" s="141"/>
      <c r="R3" s="117" t="s">
        <v>40</v>
      </c>
      <c r="S3" s="153"/>
      <c r="T3" s="117" t="s">
        <v>7</v>
      </c>
      <c r="U3" s="118"/>
      <c r="V3" s="5"/>
      <c r="W3" s="29" t="s">
        <v>41</v>
      </c>
      <c r="X3" s="30"/>
      <c r="Y3" s="28"/>
      <c r="Z3" s="39" t="s">
        <v>106</v>
      </c>
      <c r="AA3" s="27"/>
      <c r="AB3" s="27"/>
      <c r="AC3" s="27"/>
      <c r="AD3" s="27"/>
      <c r="AE3" s="27"/>
      <c r="AF3" s="27"/>
      <c r="AG3" s="114"/>
    </row>
    <row r="4" spans="1:42" s="7" customFormat="1" ht="24.75" customHeight="1" x14ac:dyDescent="0.3">
      <c r="A4" s="129" t="s">
        <v>42</v>
      </c>
      <c r="B4" s="130"/>
      <c r="C4" s="127"/>
      <c r="D4" s="8">
        <v>2585</v>
      </c>
      <c r="E4" s="9" t="s">
        <v>10</v>
      </c>
      <c r="F4" s="8">
        <v>1000</v>
      </c>
      <c r="G4" s="9" t="s">
        <v>10</v>
      </c>
      <c r="H4" s="8">
        <v>3500</v>
      </c>
      <c r="I4" s="9" t="s">
        <v>10</v>
      </c>
      <c r="J4" s="10">
        <v>2</v>
      </c>
      <c r="K4" s="11" t="s">
        <v>43</v>
      </c>
      <c r="L4" s="10">
        <v>4</v>
      </c>
      <c r="M4" s="11" t="s">
        <v>44</v>
      </c>
      <c r="N4" s="10">
        <v>1</v>
      </c>
      <c r="O4" s="9" t="s">
        <v>13</v>
      </c>
      <c r="P4" s="10">
        <v>1</v>
      </c>
      <c r="Q4" s="9" t="s">
        <v>13</v>
      </c>
      <c r="R4" s="32">
        <v>125</v>
      </c>
      <c r="S4" s="33" t="s">
        <v>45</v>
      </c>
      <c r="T4" s="131" t="s">
        <v>78</v>
      </c>
      <c r="U4" s="132"/>
      <c r="V4" s="12"/>
      <c r="W4" s="34" t="s">
        <v>46</v>
      </c>
      <c r="X4" s="35">
        <f>F4-118</f>
        <v>882</v>
      </c>
      <c r="Y4" s="36" t="s">
        <v>10</v>
      </c>
      <c r="Z4" s="39" t="s">
        <v>107</v>
      </c>
      <c r="AA4" s="27"/>
      <c r="AB4" s="27"/>
      <c r="AC4" s="27"/>
      <c r="AD4" s="27"/>
      <c r="AE4" s="27"/>
      <c r="AF4" s="27"/>
      <c r="AG4" s="113">
        <v>980</v>
      </c>
      <c r="AH4" s="31"/>
      <c r="AI4" s="12"/>
    </row>
    <row r="5" spans="1:42" s="7" customFormat="1" ht="24.75" customHeight="1" x14ac:dyDescent="0.3">
      <c r="A5" s="119" t="s">
        <v>16</v>
      </c>
      <c r="B5" s="121" t="s">
        <v>17</v>
      </c>
      <c r="C5" s="122"/>
      <c r="D5" s="125" t="s">
        <v>18</v>
      </c>
      <c r="E5" s="126"/>
      <c r="F5" s="126"/>
      <c r="G5" s="126"/>
      <c r="H5" s="126"/>
      <c r="I5" s="127"/>
      <c r="J5" s="121" t="s">
        <v>19</v>
      </c>
      <c r="K5" s="122"/>
      <c r="L5" s="128" t="s">
        <v>20</v>
      </c>
      <c r="M5" s="122"/>
      <c r="N5" s="121" t="s">
        <v>21</v>
      </c>
      <c r="O5" s="145"/>
      <c r="P5" s="128" t="s">
        <v>22</v>
      </c>
      <c r="Q5" s="122"/>
      <c r="R5" s="128" t="s">
        <v>23</v>
      </c>
      <c r="S5" s="145"/>
      <c r="T5" s="128" t="s">
        <v>47</v>
      </c>
      <c r="U5" s="148"/>
      <c r="V5" s="12"/>
      <c r="W5" s="34" t="s">
        <v>48</v>
      </c>
      <c r="X5" s="37">
        <v>750</v>
      </c>
      <c r="Y5" s="36" t="s">
        <v>49</v>
      </c>
      <c r="Z5" s="39" t="s">
        <v>113</v>
      </c>
      <c r="AA5" s="27"/>
      <c r="AB5" s="27"/>
      <c r="AC5" s="27"/>
      <c r="AD5" s="27"/>
      <c r="AE5" s="27"/>
      <c r="AF5" s="27"/>
      <c r="AG5" s="41">
        <v>75</v>
      </c>
      <c r="AH5" s="34">
        <v>186</v>
      </c>
      <c r="AI5" s="40">
        <v>1300</v>
      </c>
      <c r="AJ5" s="39"/>
    </row>
    <row r="6" spans="1:42" s="7" customFormat="1" ht="24.75" customHeight="1" x14ac:dyDescent="0.3">
      <c r="A6" s="120"/>
      <c r="B6" s="123"/>
      <c r="C6" s="124"/>
      <c r="D6" s="150" t="s">
        <v>1</v>
      </c>
      <c r="E6" s="127"/>
      <c r="F6" s="125" t="s">
        <v>2</v>
      </c>
      <c r="G6" s="127"/>
      <c r="H6" s="125" t="s">
        <v>3</v>
      </c>
      <c r="I6" s="127"/>
      <c r="J6" s="123"/>
      <c r="K6" s="124"/>
      <c r="L6" s="123"/>
      <c r="M6" s="124"/>
      <c r="N6" s="146"/>
      <c r="O6" s="147"/>
      <c r="P6" s="123"/>
      <c r="Q6" s="124"/>
      <c r="R6" s="146"/>
      <c r="S6" s="147"/>
      <c r="T6" s="146"/>
      <c r="U6" s="149"/>
      <c r="V6" s="12"/>
      <c r="W6" s="34" t="s">
        <v>50</v>
      </c>
      <c r="X6" s="35">
        <f>ROUNDDOWN((H4-X9)/X5,0)</f>
        <v>4</v>
      </c>
      <c r="Y6" s="36" t="s">
        <v>27</v>
      </c>
      <c r="Z6" s="39" t="s">
        <v>108</v>
      </c>
      <c r="AA6" s="27"/>
      <c r="AB6" s="27"/>
      <c r="AC6" s="27"/>
      <c r="AD6" s="27"/>
      <c r="AE6" s="27"/>
      <c r="AF6" s="27"/>
      <c r="AG6" s="41">
        <v>100</v>
      </c>
      <c r="AH6" s="41">
        <v>211</v>
      </c>
      <c r="AI6" s="40">
        <v>1400</v>
      </c>
      <c r="AJ6" s="39"/>
    </row>
    <row r="7" spans="1:42" s="7" customFormat="1" ht="24.75" customHeight="1" x14ac:dyDescent="0.3">
      <c r="A7" s="14">
        <v>1</v>
      </c>
      <c r="B7" s="96" t="s">
        <v>96</v>
      </c>
      <c r="C7" s="95" t="s">
        <v>24</v>
      </c>
      <c r="D7" s="16"/>
      <c r="E7" s="9" t="s">
        <v>10</v>
      </c>
      <c r="F7" s="16"/>
      <c r="G7" s="9" t="s">
        <v>10</v>
      </c>
      <c r="H7" s="16">
        <f>H4</f>
        <v>3500</v>
      </c>
      <c r="I7" s="9" t="s">
        <v>10</v>
      </c>
      <c r="J7" s="110">
        <v>1.8</v>
      </c>
      <c r="K7" s="94" t="s">
        <v>25</v>
      </c>
      <c r="L7" s="104">
        <f>IF(B7="85바",243*H7*J7*7.85/10^6,IF(B7="95바",265*H7*J7*7.85/10^6))</f>
        <v>12.017564999999999</v>
      </c>
      <c r="M7" s="9" t="s">
        <v>26</v>
      </c>
      <c r="N7" s="16">
        <f>N4*4+P4*2</f>
        <v>6</v>
      </c>
      <c r="O7" s="9" t="s">
        <v>27</v>
      </c>
      <c r="P7" s="19">
        <f>L7*N7</f>
        <v>72.10539</v>
      </c>
      <c r="Q7" s="9" t="s">
        <v>26</v>
      </c>
      <c r="R7" s="20">
        <f>P7*IF(AND(1.6&lt;J7,J7&lt;2),$AG$4+10,IF(AND(1.4&lt;J7,J7&lt;=1.6),$AG$4+20,IF(J7&lt;=1.4,$AG$4+40,$AG$4)))+IF(B7="85바",150*((243*H7*(IF(J7&lt;=1.8,1.8,J7))*7.85/10^6)*N7),IF(B7="95바",150*((265*H7*(IF(J7&lt;=1.8,1.8,J7))*7.85/10^6)*N7)))+H7/1000*N7*IF(B7="85바",IF(H7&lt;8800,1100,1300),IF(B7="95바",IF(H7&lt;8800,1200,1800)))</f>
        <v>105300.1446</v>
      </c>
      <c r="S7" s="9" t="s">
        <v>8</v>
      </c>
      <c r="T7" s="151"/>
      <c r="U7" s="152"/>
      <c r="V7" s="12"/>
      <c r="W7" s="34" t="s">
        <v>51</v>
      </c>
      <c r="X7" s="35">
        <f>H4-SUM(X8:X9)</f>
        <v>100</v>
      </c>
      <c r="Y7" s="36" t="s">
        <v>10</v>
      </c>
      <c r="Z7" s="39" t="s">
        <v>147</v>
      </c>
      <c r="AA7" s="27"/>
      <c r="AB7" s="27"/>
      <c r="AC7" s="27"/>
      <c r="AD7" s="27"/>
      <c r="AE7" s="27"/>
      <c r="AF7" s="27"/>
      <c r="AG7" s="41">
        <v>125</v>
      </c>
      <c r="AH7" s="41">
        <v>236</v>
      </c>
      <c r="AI7" s="40">
        <v>1500</v>
      </c>
      <c r="AJ7" s="39"/>
    </row>
    <row r="8" spans="1:42" s="7" customFormat="1" ht="24.75" customHeight="1" x14ac:dyDescent="0.3">
      <c r="A8" s="14">
        <v>2</v>
      </c>
      <c r="B8" s="125" t="s">
        <v>52</v>
      </c>
      <c r="C8" s="142"/>
      <c r="D8" s="16">
        <v>173</v>
      </c>
      <c r="E8" s="9" t="s">
        <v>10</v>
      </c>
      <c r="F8" s="16">
        <v>101</v>
      </c>
      <c r="G8" s="9" t="s">
        <v>10</v>
      </c>
      <c r="H8" s="16"/>
      <c r="I8" s="9" t="s">
        <v>10</v>
      </c>
      <c r="J8" s="42">
        <v>4</v>
      </c>
      <c r="K8" s="94" t="s">
        <v>25</v>
      </c>
      <c r="L8" s="18">
        <f>D8*F8*J8*7.85/10^6</f>
        <v>0.54865219999999992</v>
      </c>
      <c r="M8" s="9" t="s">
        <v>26</v>
      </c>
      <c r="N8" s="16">
        <f>N7</f>
        <v>6</v>
      </c>
      <c r="O8" s="9" t="s">
        <v>27</v>
      </c>
      <c r="P8" s="19">
        <f>L8*N8</f>
        <v>3.2919131999999998</v>
      </c>
      <c r="Q8" s="9" t="s">
        <v>26</v>
      </c>
      <c r="R8" s="20">
        <f>P8*1100+N8*300</f>
        <v>5421.1045199999999</v>
      </c>
      <c r="S8" s="9" t="s">
        <v>8</v>
      </c>
      <c r="T8" s="151"/>
      <c r="U8" s="152"/>
      <c r="V8" s="12"/>
      <c r="W8" s="34" t="s">
        <v>53</v>
      </c>
      <c r="X8" s="35">
        <f>X5*X6</f>
        <v>3000</v>
      </c>
      <c r="Y8" s="36" t="s">
        <v>10</v>
      </c>
      <c r="Z8" s="39" t="s">
        <v>148</v>
      </c>
      <c r="AA8" s="27"/>
      <c r="AB8" s="27"/>
      <c r="AC8" s="27"/>
      <c r="AD8" s="27"/>
      <c r="AE8" s="27"/>
      <c r="AF8" s="27"/>
      <c r="AG8" s="41">
        <v>150</v>
      </c>
      <c r="AH8" s="41">
        <v>261</v>
      </c>
      <c r="AI8" s="40">
        <v>1700</v>
      </c>
      <c r="AJ8" s="39"/>
    </row>
    <row r="9" spans="1:42" s="7" customFormat="1" ht="24.75" customHeight="1" x14ac:dyDescent="0.3">
      <c r="A9" s="14">
        <v>3</v>
      </c>
      <c r="B9" s="125" t="s">
        <v>54</v>
      </c>
      <c r="C9" s="142"/>
      <c r="D9" s="16">
        <f>IF($B$7="85바",($D$4-95),IF($B$7="95바",($D$4-105)))</f>
        <v>2490</v>
      </c>
      <c r="E9" s="9" t="s">
        <v>10</v>
      </c>
      <c r="F9" s="16"/>
      <c r="G9" s="9" t="s">
        <v>10</v>
      </c>
      <c r="H9" s="16"/>
      <c r="I9" s="9" t="s">
        <v>10</v>
      </c>
      <c r="J9" s="17">
        <v>1.6</v>
      </c>
      <c r="K9" s="94" t="s">
        <v>25</v>
      </c>
      <c r="L9" s="43">
        <f>D9*(VLOOKUP($R$4,$AG$5:$AI$8,2,0))*2*J9*7.85/10^6</f>
        <v>14.761516799999999</v>
      </c>
      <c r="M9" s="9" t="s">
        <v>26</v>
      </c>
      <c r="N9" s="16">
        <f>(N4+P4)*J4*2</f>
        <v>8</v>
      </c>
      <c r="O9" s="9" t="s">
        <v>27</v>
      </c>
      <c r="P9" s="19">
        <f>L9*N9</f>
        <v>118.09213439999999</v>
      </c>
      <c r="Q9" s="9" t="s">
        <v>26</v>
      </c>
      <c r="R9" s="20">
        <f>P9*IF(AND(1.6&lt;J9,J9&lt;2),$AG$4+10,IF(AND(1.4&lt;J9,J9&lt;=1.6),$AG$4+20,IF(J9&lt;=1.4,$AG$4+40,$AG$4)))+(IF(J9&lt;=1.6,(D9*(VLOOKUP($R$4,$AG$5:$AI$8,2,0))*2*1.6*7.85/10^6)*N9,(D9*(VLOOKUP($R$4,$AG$5:$AI$8,2,0))*2*J9*7.85/10^6)*N9)*(120+40)+N9*IF(D9&lt;2990,(VLOOKUP($R$4,$AG$5:$AI$8,3,0)),((VLOOKUP($R$4,$AG$5:$AI$8,3,0))+500)))+(D9+100)*N9*1100/1000</f>
        <v>171778.87590399999</v>
      </c>
      <c r="S9" s="9" t="s">
        <v>8</v>
      </c>
      <c r="T9" s="151"/>
      <c r="U9" s="152"/>
      <c r="V9" s="12"/>
      <c r="W9" s="34" t="s">
        <v>55</v>
      </c>
      <c r="X9" s="37">
        <v>400</v>
      </c>
      <c r="Y9" s="36" t="s">
        <v>10</v>
      </c>
      <c r="Z9" s="39" t="s">
        <v>114</v>
      </c>
      <c r="AA9" s="27"/>
      <c r="AB9" s="27"/>
      <c r="AC9" s="27"/>
      <c r="AD9" s="27"/>
      <c r="AE9" s="27"/>
      <c r="AF9" s="27"/>
      <c r="AG9" s="30"/>
      <c r="AH9" s="45"/>
      <c r="AI9" s="28"/>
      <c r="AL9" s="44"/>
    </row>
    <row r="10" spans="1:42" s="7" customFormat="1" ht="24.75" customHeight="1" x14ac:dyDescent="0.3">
      <c r="A10" s="14">
        <v>4</v>
      </c>
      <c r="B10" s="125" t="s">
        <v>56</v>
      </c>
      <c r="C10" s="142"/>
      <c r="D10" s="16">
        <v>101</v>
      </c>
      <c r="E10" s="9" t="s">
        <v>10</v>
      </c>
      <c r="F10" s="16">
        <v>200</v>
      </c>
      <c r="G10" s="9" t="s">
        <v>10</v>
      </c>
      <c r="H10" s="16"/>
      <c r="I10" s="9" t="s">
        <v>10</v>
      </c>
      <c r="J10" s="42">
        <v>4</v>
      </c>
      <c r="K10" s="94" t="s">
        <v>25</v>
      </c>
      <c r="L10" s="18">
        <f>D10*F10*J10*7.85/10^6</f>
        <v>0.63427999999999995</v>
      </c>
      <c r="M10" s="9" t="s">
        <v>26</v>
      </c>
      <c r="N10" s="16">
        <f>N9*2</f>
        <v>16</v>
      </c>
      <c r="O10" s="9" t="s">
        <v>27</v>
      </c>
      <c r="P10" s="19">
        <f>L10*N10</f>
        <v>10.148479999999999</v>
      </c>
      <c r="Q10" s="9" t="s">
        <v>26</v>
      </c>
      <c r="R10" s="20">
        <f>P10*1020+N10*350</f>
        <v>15951.4496</v>
      </c>
      <c r="S10" s="9" t="s">
        <v>8</v>
      </c>
      <c r="T10" s="143"/>
      <c r="U10" s="144"/>
      <c r="V10" s="12"/>
      <c r="W10" s="39"/>
      <c r="X10" s="5"/>
      <c r="Y10" s="5"/>
      <c r="Z10" s="39" t="s">
        <v>112</v>
      </c>
      <c r="AA10" s="5"/>
      <c r="AB10" s="5"/>
      <c r="AC10" s="5"/>
      <c r="AD10" s="5"/>
      <c r="AE10" s="5"/>
      <c r="AF10" s="5"/>
      <c r="AJ10" s="27"/>
      <c r="AK10" s="12"/>
      <c r="AP10" s="44"/>
    </row>
    <row r="11" spans="1:42" s="7" customFormat="1" ht="24.75" customHeight="1" x14ac:dyDescent="0.3">
      <c r="A11" s="14">
        <v>5</v>
      </c>
      <c r="B11" s="125" t="s">
        <v>156</v>
      </c>
      <c r="C11" s="142"/>
      <c r="D11" s="162" t="s">
        <v>100</v>
      </c>
      <c r="E11" s="163"/>
      <c r="F11" s="155" t="s">
        <v>101</v>
      </c>
      <c r="G11" s="156"/>
      <c r="H11" s="111">
        <f>(F4-5)-116</f>
        <v>879</v>
      </c>
      <c r="I11" s="9" t="s">
        <v>10</v>
      </c>
      <c r="J11" s="19">
        <v>1.6</v>
      </c>
      <c r="K11" s="94" t="s">
        <v>25</v>
      </c>
      <c r="L11" s="104">
        <f>IF(D11="75*30",135*H11*J11*7.85/10^6,IF(D11="75*45",173*H11*J11*7.85/10^6))</f>
        <v>1.4904324</v>
      </c>
      <c r="M11" s="9" t="s">
        <v>26</v>
      </c>
      <c r="N11" s="16">
        <f>(N4+P4)*J4*L4</f>
        <v>16</v>
      </c>
      <c r="O11" s="9" t="s">
        <v>27</v>
      </c>
      <c r="P11" s="19">
        <f t="shared" ref="P11:P14" si="0">L11*N11</f>
        <v>23.8469184</v>
      </c>
      <c r="Q11" s="9" t="s">
        <v>26</v>
      </c>
      <c r="R11" s="20">
        <f>P11*IF(AND(1.6&lt;J11,J11&lt;2),$AG$4+10,IF(AND(1.4&lt;J11,J11&lt;=1.6),$AG$4+20,IF(J11&lt;=1.4,$AG$4+40,$AG$4)))+P11*240+N11*IF(D11="75*30",550,IF(D11="75*45",650))+F4/1000*600*N11</f>
        <v>47970.178816</v>
      </c>
      <c r="S11" s="9" t="s">
        <v>8</v>
      </c>
      <c r="T11" s="157" t="s">
        <v>144</v>
      </c>
      <c r="U11" s="158"/>
      <c r="V11" s="12"/>
      <c r="W11" s="39"/>
      <c r="X11" s="5"/>
      <c r="Y11" s="5"/>
      <c r="Z11" s="39" t="s">
        <v>115</v>
      </c>
      <c r="AA11" s="5"/>
      <c r="AB11" s="5"/>
      <c r="AC11" s="5"/>
      <c r="AD11" s="5"/>
      <c r="AE11" s="5"/>
      <c r="AF11" s="5"/>
      <c r="AJ11" s="27"/>
      <c r="AK11" s="12"/>
      <c r="AO11" s="44"/>
      <c r="AP11" s="44"/>
    </row>
    <row r="12" spans="1:42" s="7" customFormat="1" ht="24.75" customHeight="1" x14ac:dyDescent="0.3">
      <c r="A12" s="14">
        <v>6</v>
      </c>
      <c r="B12" s="125" t="s">
        <v>69</v>
      </c>
      <c r="C12" s="142"/>
      <c r="D12" s="97">
        <v>93</v>
      </c>
      <c r="E12" s="9" t="s">
        <v>10</v>
      </c>
      <c r="F12" s="16">
        <f>52+61+26</f>
        <v>139</v>
      </c>
      <c r="G12" s="9" t="s">
        <v>10</v>
      </c>
      <c r="H12" s="16"/>
      <c r="I12" s="9" t="s">
        <v>10</v>
      </c>
      <c r="J12" s="19">
        <v>3</v>
      </c>
      <c r="K12" s="94" t="s">
        <v>25</v>
      </c>
      <c r="L12" s="18">
        <f>D12*F12*J12*7.85/10^6</f>
        <v>0.30443084999999998</v>
      </c>
      <c r="M12" s="9" t="s">
        <v>26</v>
      </c>
      <c r="N12" s="16">
        <f>N11*2</f>
        <v>32</v>
      </c>
      <c r="O12" s="9" t="s">
        <v>27</v>
      </c>
      <c r="P12" s="19">
        <f>L12*N12</f>
        <v>9.7417871999999992</v>
      </c>
      <c r="Q12" s="9" t="s">
        <v>26</v>
      </c>
      <c r="R12" s="20">
        <f>P12*1020+N12*250</f>
        <v>17936.622943999999</v>
      </c>
      <c r="S12" s="9" t="s">
        <v>8</v>
      </c>
      <c r="T12" s="151"/>
      <c r="U12" s="152"/>
      <c r="V12" s="12"/>
      <c r="W12" s="39"/>
      <c r="X12" s="5"/>
      <c r="Y12" s="5"/>
      <c r="Z12" s="39" t="s">
        <v>103</v>
      </c>
      <c r="AA12" s="5"/>
      <c r="AB12" s="5"/>
      <c r="AC12" s="5"/>
      <c r="AD12" s="5"/>
      <c r="AE12" s="5"/>
      <c r="AF12" s="5"/>
      <c r="AJ12" s="27"/>
      <c r="AK12" s="5"/>
      <c r="AP12" s="44"/>
    </row>
    <row r="13" spans="1:42" s="7" customFormat="1" ht="24.75" customHeight="1" x14ac:dyDescent="0.3">
      <c r="A13" s="14">
        <v>7</v>
      </c>
      <c r="B13" s="96" t="s">
        <v>143</v>
      </c>
      <c r="C13" s="95" t="s">
        <v>98</v>
      </c>
      <c r="D13" s="16"/>
      <c r="E13" s="9" t="s">
        <v>10</v>
      </c>
      <c r="F13" s="111">
        <f>IF($B$7="85바",($F$4-125)+50,IF($B$7="95바",($F$4-135)+50))</f>
        <v>925</v>
      </c>
      <c r="G13" s="9" t="s">
        <v>10</v>
      </c>
      <c r="H13" s="16"/>
      <c r="I13" s="9" t="s">
        <v>10</v>
      </c>
      <c r="J13" s="102">
        <f t="shared" ref="J13:J14" si="1">IF(B13="HR",1.6,IF(B13="아연도",1.5))</f>
        <v>1.5</v>
      </c>
      <c r="K13" s="94" t="s">
        <v>25</v>
      </c>
      <c r="L13" s="18">
        <f>93*F13*J13*7.85/10^6</f>
        <v>1.012944375</v>
      </c>
      <c r="M13" s="9" t="s">
        <v>26</v>
      </c>
      <c r="N13" s="16">
        <f>N7</f>
        <v>6</v>
      </c>
      <c r="O13" s="9" t="s">
        <v>27</v>
      </c>
      <c r="P13" s="19">
        <f t="shared" si="0"/>
        <v>6.07766625</v>
      </c>
      <c r="Q13" s="9" t="s">
        <v>26</v>
      </c>
      <c r="R13" s="20">
        <f>P13*IF(B13="HR",IF(AND(1.6&lt;J13,J13&lt;2),$AG$4+10,IF(AND(1.4&lt;J13,J13&lt;=1.6),$AG$4+20,IF(J13&lt;=1.4,$AG$4+40,$AG$4))),IF(B13="아연도",IF(J13&lt;1,$AG$4+20,$AG$4)+120))+P13*240+F13/1000*IF(B13="HR",500,IF(B13="아연도",0))*N13</f>
        <v>8144.0727750000005</v>
      </c>
      <c r="S13" s="9" t="s">
        <v>8</v>
      </c>
      <c r="T13" s="151"/>
      <c r="U13" s="152"/>
      <c r="V13" s="5"/>
      <c r="W13" s="5"/>
      <c r="X13" s="5"/>
      <c r="Y13" s="5"/>
      <c r="Z13" s="39" t="s">
        <v>111</v>
      </c>
      <c r="AA13" s="5"/>
      <c r="AB13" s="5"/>
      <c r="AC13" s="5"/>
      <c r="AD13" s="5"/>
      <c r="AE13" s="5"/>
      <c r="AF13" s="5"/>
      <c r="AJ13" s="27"/>
      <c r="AK13" s="12"/>
      <c r="AP13" s="44"/>
    </row>
    <row r="14" spans="1:42" s="7" customFormat="1" ht="24.75" customHeight="1" x14ac:dyDescent="0.3">
      <c r="A14" s="14">
        <v>8</v>
      </c>
      <c r="B14" s="96" t="str">
        <f>B13</f>
        <v>아연도</v>
      </c>
      <c r="C14" s="95" t="s">
        <v>99</v>
      </c>
      <c r="D14" s="16"/>
      <c r="E14" s="9" t="s">
        <v>10</v>
      </c>
      <c r="F14" s="111">
        <f>IF($B$7="85바",SQRT(($F$4-125)^2+$X$5^2)+50,IF($B$7="95바",SQRT(($F$4-135)^2+$X$5^2)+50))</f>
        <v>1202.443057161611</v>
      </c>
      <c r="G14" s="9" t="s">
        <v>10</v>
      </c>
      <c r="H14" s="16"/>
      <c r="I14" s="9" t="s">
        <v>10</v>
      </c>
      <c r="J14" s="102">
        <f t="shared" si="1"/>
        <v>1.5</v>
      </c>
      <c r="K14" s="94" t="s">
        <v>25</v>
      </c>
      <c r="L14" s="18">
        <f>93*F14*J14*7.85/10^6</f>
        <v>1.3167653308212512</v>
      </c>
      <c r="M14" s="9" t="s">
        <v>26</v>
      </c>
      <c r="N14" s="16">
        <f>N7/2*X6</f>
        <v>12</v>
      </c>
      <c r="O14" s="9" t="s">
        <v>27</v>
      </c>
      <c r="P14" s="19">
        <f t="shared" si="0"/>
        <v>15.801183969855014</v>
      </c>
      <c r="Q14" s="9" t="s">
        <v>26</v>
      </c>
      <c r="R14" s="20">
        <f>P14*IF(B14="HR",IF(AND(1.6&lt;J14,J14&lt;2),$AG$4+10,IF(AND(1.4&lt;J14,J14&lt;=1.6),$AG$4+20,IF(J14&lt;=1.4,$AG$4+40,$AG$4))),IF(B14="아연도",IF(J14&lt;1,$AG$4+20,$AG$4)+120))+P14*240+F14/1000*IF(B14="HR",500,IF(B14="아연도",0))*N14</f>
        <v>21173.58651960572</v>
      </c>
      <c r="S14" s="9" t="s">
        <v>8</v>
      </c>
      <c r="T14" s="151"/>
      <c r="U14" s="152"/>
      <c r="V14" s="5"/>
      <c r="W14" s="12"/>
      <c r="X14" s="5"/>
      <c r="Y14" s="5"/>
      <c r="Z14" s="39" t="s">
        <v>136</v>
      </c>
      <c r="AA14" s="5"/>
      <c r="AB14" s="5"/>
      <c r="AC14" s="5"/>
      <c r="AD14" s="5"/>
      <c r="AE14" s="5"/>
      <c r="AF14" s="5"/>
      <c r="AJ14" s="27"/>
      <c r="AK14" s="54"/>
      <c r="AP14" s="44"/>
    </row>
    <row r="15" spans="1:42" s="7" customFormat="1" ht="24.75" customHeight="1" x14ac:dyDescent="0.3">
      <c r="A15" s="14">
        <v>9</v>
      </c>
      <c r="B15" s="125" t="s">
        <v>57</v>
      </c>
      <c r="C15" s="142"/>
      <c r="D15" s="159" t="s">
        <v>58</v>
      </c>
      <c r="E15" s="160"/>
      <c r="F15" s="160"/>
      <c r="G15" s="160"/>
      <c r="H15" s="160"/>
      <c r="I15" s="161"/>
      <c r="J15" s="19">
        <v>1.4</v>
      </c>
      <c r="K15" s="94" t="s">
        <v>25</v>
      </c>
      <c r="L15" s="18">
        <f>0.566*6/124</f>
        <v>2.7387096774193549E-2</v>
      </c>
      <c r="M15" s="9" t="s">
        <v>26</v>
      </c>
      <c r="N15" s="16">
        <f>N7</f>
        <v>6</v>
      </c>
      <c r="O15" s="9" t="s">
        <v>27</v>
      </c>
      <c r="P15" s="19"/>
      <c r="Q15" s="9"/>
      <c r="R15" s="20">
        <f>N15*120</f>
        <v>720</v>
      </c>
      <c r="S15" s="9" t="s">
        <v>8</v>
      </c>
      <c r="T15" s="151"/>
      <c r="U15" s="152"/>
      <c r="V15" s="5"/>
      <c r="W15" s="39"/>
      <c r="X15" s="5"/>
      <c r="Y15" s="5"/>
      <c r="Z15" s="39" t="s">
        <v>137</v>
      </c>
      <c r="AA15" s="5"/>
      <c r="AB15" s="5"/>
      <c r="AC15" s="5"/>
      <c r="AD15" s="5"/>
      <c r="AE15" s="5"/>
      <c r="AF15" s="5"/>
      <c r="AJ15" s="27"/>
      <c r="AK15" s="12"/>
      <c r="AP15" s="44"/>
    </row>
    <row r="16" spans="1:42" s="7" customFormat="1" ht="24.75" customHeight="1" x14ac:dyDescent="0.3">
      <c r="A16" s="14">
        <v>10</v>
      </c>
      <c r="B16" s="125" t="s">
        <v>59</v>
      </c>
      <c r="C16" s="142"/>
      <c r="D16" s="16">
        <v>130</v>
      </c>
      <c r="E16" s="9" t="s">
        <v>10</v>
      </c>
      <c r="F16" s="16">
        <v>100</v>
      </c>
      <c r="G16" s="9" t="s">
        <v>10</v>
      </c>
      <c r="H16" s="16"/>
      <c r="I16" s="9" t="s">
        <v>10</v>
      </c>
      <c r="J16" s="19">
        <v>1.2</v>
      </c>
      <c r="K16" s="94" t="s">
        <v>25</v>
      </c>
      <c r="L16" s="18">
        <f>D16*F16*J16*7.85/10^6</f>
        <v>0.12246</v>
      </c>
      <c r="M16" s="9" t="s">
        <v>26</v>
      </c>
      <c r="N16" s="16">
        <f>N7*2</f>
        <v>12</v>
      </c>
      <c r="O16" s="9" t="s">
        <v>27</v>
      </c>
      <c r="P16" s="19"/>
      <c r="Q16" s="9"/>
      <c r="R16" s="20">
        <f>N16*270</f>
        <v>3240</v>
      </c>
      <c r="S16" s="9" t="s">
        <v>8</v>
      </c>
      <c r="T16" s="151"/>
      <c r="U16" s="152"/>
      <c r="V16" s="5"/>
      <c r="W16" s="39"/>
      <c r="X16" s="5"/>
      <c r="Y16" s="5"/>
      <c r="Z16" s="39" t="s">
        <v>138</v>
      </c>
      <c r="AA16" s="5"/>
      <c r="AB16" s="5"/>
      <c r="AC16" s="5"/>
      <c r="AD16" s="5"/>
      <c r="AE16" s="5"/>
      <c r="AF16" s="5"/>
      <c r="AJ16" s="27"/>
      <c r="AK16" s="12"/>
      <c r="AP16" s="44"/>
    </row>
    <row r="17" spans="1:44" s="7" customFormat="1" ht="24.75" customHeight="1" x14ac:dyDescent="0.3">
      <c r="A17" s="14">
        <v>11</v>
      </c>
      <c r="B17" s="125" t="s">
        <v>36</v>
      </c>
      <c r="C17" s="142"/>
      <c r="D17" s="154" t="s">
        <v>31</v>
      </c>
      <c r="E17" s="155"/>
      <c r="F17" s="155"/>
      <c r="G17" s="155"/>
      <c r="H17" s="155"/>
      <c r="I17" s="155"/>
      <c r="J17" s="155"/>
      <c r="K17" s="155"/>
      <c r="L17" s="155"/>
      <c r="M17" s="156"/>
      <c r="N17" s="16">
        <f>N9*2</f>
        <v>16</v>
      </c>
      <c r="O17" s="9" t="s">
        <v>27</v>
      </c>
      <c r="P17" s="19"/>
      <c r="Q17" s="9"/>
      <c r="R17" s="20">
        <f>N17*110</f>
        <v>1760</v>
      </c>
      <c r="S17" s="9" t="s">
        <v>8</v>
      </c>
      <c r="T17" s="151"/>
      <c r="U17" s="152"/>
      <c r="V17" s="5"/>
      <c r="W17" s="39"/>
      <c r="X17" s="5"/>
      <c r="Y17" s="5"/>
      <c r="Z17" s="55" t="s">
        <v>15</v>
      </c>
      <c r="AA17" s="5"/>
      <c r="AB17" s="5"/>
      <c r="AC17" s="5"/>
      <c r="AD17" s="5"/>
      <c r="AE17" s="5"/>
      <c r="AF17" s="5"/>
      <c r="AG17" s="12"/>
      <c r="AJ17" s="27"/>
      <c r="AK17" s="12"/>
      <c r="AO17" s="44"/>
      <c r="AP17" s="44"/>
    </row>
    <row r="18" spans="1:44" s="7" customFormat="1" ht="24.75" customHeight="1" x14ac:dyDescent="0.3">
      <c r="A18" s="14">
        <v>12</v>
      </c>
      <c r="B18" s="125" t="s">
        <v>60</v>
      </c>
      <c r="C18" s="142"/>
      <c r="D18" s="154" t="s">
        <v>61</v>
      </c>
      <c r="E18" s="155"/>
      <c r="F18" s="155"/>
      <c r="G18" s="155"/>
      <c r="H18" s="155"/>
      <c r="I18" s="155"/>
      <c r="J18" s="155"/>
      <c r="K18" s="155"/>
      <c r="L18" s="155"/>
      <c r="M18" s="156"/>
      <c r="N18" s="16">
        <f>N8*2</f>
        <v>12</v>
      </c>
      <c r="O18" s="9" t="s">
        <v>27</v>
      </c>
      <c r="P18" s="19"/>
      <c r="Q18" s="9"/>
      <c r="R18" s="20">
        <f>N18*110</f>
        <v>1320</v>
      </c>
      <c r="S18" s="9" t="s">
        <v>8</v>
      </c>
      <c r="T18" s="151"/>
      <c r="U18" s="152"/>
      <c r="V18" s="5"/>
      <c r="W18" s="39"/>
      <c r="X18" s="5"/>
      <c r="Y18" s="5"/>
      <c r="Z18" s="5"/>
      <c r="AA18" s="5"/>
      <c r="AB18" s="5"/>
      <c r="AC18" s="5"/>
      <c r="AD18" s="5"/>
      <c r="AE18" s="5"/>
      <c r="AF18" s="5"/>
      <c r="AJ18" s="27"/>
      <c r="AK18" s="12"/>
      <c r="AP18" s="44"/>
    </row>
    <row r="19" spans="1:44" s="7" customFormat="1" ht="24.75" customHeight="1" x14ac:dyDescent="0.3">
      <c r="A19" s="14">
        <v>13</v>
      </c>
      <c r="B19" s="125" t="s">
        <v>60</v>
      </c>
      <c r="C19" s="142"/>
      <c r="D19" s="154" t="s">
        <v>62</v>
      </c>
      <c r="E19" s="155"/>
      <c r="F19" s="155"/>
      <c r="G19" s="155"/>
      <c r="H19" s="155"/>
      <c r="I19" s="155"/>
      <c r="J19" s="155"/>
      <c r="K19" s="155"/>
      <c r="L19" s="155"/>
      <c r="M19" s="156"/>
      <c r="N19" s="16">
        <f>N7/2*(X6+3)</f>
        <v>21</v>
      </c>
      <c r="O19" s="9" t="s">
        <v>27</v>
      </c>
      <c r="P19" s="19"/>
      <c r="Q19" s="9"/>
      <c r="R19" s="20">
        <f>N19*130</f>
        <v>2730</v>
      </c>
      <c r="S19" s="9" t="s">
        <v>8</v>
      </c>
      <c r="T19" s="151"/>
      <c r="U19" s="152"/>
      <c r="V19" s="5"/>
      <c r="W19" s="21" t="s">
        <v>32</v>
      </c>
      <c r="X19" s="21" t="s">
        <v>33</v>
      </c>
      <c r="Y19" s="21" t="s">
        <v>34</v>
      </c>
      <c r="Z19" s="21" t="s">
        <v>35</v>
      </c>
      <c r="AA19" s="46"/>
      <c r="AB19" s="46"/>
      <c r="AC19" s="46"/>
      <c r="AD19" s="46"/>
      <c r="AE19" s="46"/>
      <c r="AF19" s="46"/>
      <c r="AJ19" s="47"/>
      <c r="AK19" s="12"/>
      <c r="AP19" s="44"/>
    </row>
    <row r="20" spans="1:44" s="7" customFormat="1" ht="24.75" customHeight="1" x14ac:dyDescent="0.3">
      <c r="A20" s="14">
        <v>14</v>
      </c>
      <c r="B20" s="125" t="s">
        <v>63</v>
      </c>
      <c r="C20" s="142"/>
      <c r="D20" s="154" t="s">
        <v>64</v>
      </c>
      <c r="E20" s="155"/>
      <c r="F20" s="155"/>
      <c r="G20" s="155"/>
      <c r="H20" s="155"/>
      <c r="I20" s="155"/>
      <c r="J20" s="155"/>
      <c r="K20" s="155"/>
      <c r="L20" s="155"/>
      <c r="M20" s="156"/>
      <c r="N20" s="16">
        <f>N8*1</f>
        <v>6</v>
      </c>
      <c r="O20" s="9" t="s">
        <v>27</v>
      </c>
      <c r="P20" s="19"/>
      <c r="Q20" s="9"/>
      <c r="R20" s="20">
        <f>N20*280</f>
        <v>1680</v>
      </c>
      <c r="S20" s="9" t="s">
        <v>8</v>
      </c>
      <c r="T20" s="151"/>
      <c r="U20" s="152"/>
      <c r="V20" s="5"/>
      <c r="W20" s="21" t="s">
        <v>5</v>
      </c>
      <c r="X20" s="21">
        <f>N4</f>
        <v>1</v>
      </c>
      <c r="Y20" s="21"/>
      <c r="Z20" s="21">
        <f>X20*Y20</f>
        <v>0</v>
      </c>
      <c r="AA20" s="46"/>
      <c r="AB20" s="46"/>
      <c r="AC20" s="46"/>
      <c r="AD20" s="46"/>
      <c r="AE20" s="46"/>
      <c r="AF20" s="46"/>
      <c r="AH20" s="27"/>
      <c r="AI20" s="53"/>
      <c r="AJ20" s="48"/>
      <c r="AK20" s="54"/>
      <c r="AL20" s="3"/>
      <c r="AM20" s="3"/>
      <c r="AP20" s="44"/>
    </row>
    <row r="21" spans="1:44" s="7" customFormat="1" ht="24.75" customHeight="1" thickBot="1" x14ac:dyDescent="0.35">
      <c r="A21" s="14">
        <v>15</v>
      </c>
      <c r="B21" s="164" t="s">
        <v>37</v>
      </c>
      <c r="C21" s="165"/>
      <c r="D21" s="166" t="s">
        <v>31</v>
      </c>
      <c r="E21" s="167"/>
      <c r="F21" s="167"/>
      <c r="G21" s="167"/>
      <c r="H21" s="167"/>
      <c r="I21" s="167"/>
      <c r="J21" s="167"/>
      <c r="K21" s="167"/>
      <c r="L21" s="167"/>
      <c r="M21" s="168"/>
      <c r="N21" s="16"/>
      <c r="O21" s="9"/>
      <c r="P21" s="19">
        <f>SUM(P7:P20)*3%</f>
        <v>7.77316420259565</v>
      </c>
      <c r="Q21" s="9" t="s">
        <v>26</v>
      </c>
      <c r="R21" s="20">
        <f>P21*$AG$4</f>
        <v>7617.7009185437373</v>
      </c>
      <c r="S21" s="9" t="s">
        <v>8</v>
      </c>
      <c r="T21" s="151"/>
      <c r="U21" s="152"/>
      <c r="V21" s="5"/>
      <c r="W21" s="21" t="s">
        <v>6</v>
      </c>
      <c r="X21" s="21">
        <f>P4</f>
        <v>1</v>
      </c>
      <c r="Y21" s="21"/>
      <c r="Z21" s="21">
        <f>X21*Y21</f>
        <v>0</v>
      </c>
      <c r="AA21" s="46"/>
      <c r="AB21" s="46"/>
      <c r="AC21" s="46"/>
      <c r="AD21" s="46"/>
      <c r="AE21" s="46"/>
      <c r="AF21" s="46"/>
      <c r="AG21" s="55"/>
      <c r="AH21" s="27"/>
      <c r="AI21" s="53"/>
      <c r="AJ21" s="47"/>
      <c r="AK21" s="54"/>
      <c r="AL21" s="3"/>
      <c r="AM21" s="3"/>
      <c r="AP21" s="44"/>
    </row>
    <row r="22" spans="1:44" s="7" customFormat="1" ht="24.75" customHeight="1" thickTop="1" thickBot="1" x14ac:dyDescent="0.35">
      <c r="A22" s="171" t="s">
        <v>38</v>
      </c>
      <c r="B22" s="172"/>
      <c r="C22" s="172"/>
      <c r="D22" s="172"/>
      <c r="E22" s="172"/>
      <c r="F22" s="172"/>
      <c r="G22" s="172"/>
      <c r="H22" s="172"/>
      <c r="I22" s="172"/>
      <c r="J22" s="172"/>
      <c r="K22" s="172"/>
      <c r="L22" s="172"/>
      <c r="M22" s="173"/>
      <c r="N22" s="22">
        <f>SUM(N7:N21)</f>
        <v>175</v>
      </c>
      <c r="O22" s="23" t="s">
        <v>27</v>
      </c>
      <c r="P22" s="24">
        <f>SUM(P7:P21)</f>
        <v>266.87863762245064</v>
      </c>
      <c r="Q22" s="23" t="s">
        <v>26</v>
      </c>
      <c r="R22" s="49">
        <f>MROUND((SUM(R7:R21)+SUM(R7:R21)*T22%),10)</f>
        <v>454020</v>
      </c>
      <c r="S22" s="50" t="s">
        <v>8</v>
      </c>
      <c r="T22" s="51">
        <v>10</v>
      </c>
      <c r="U22" s="52" t="s">
        <v>65</v>
      </c>
      <c r="V22" s="5"/>
      <c r="W22" s="174" t="s">
        <v>39</v>
      </c>
      <c r="X22" s="175"/>
      <c r="Y22" s="176"/>
      <c r="Z22" s="21">
        <f>SUM(Z20:Z21)</f>
        <v>0</v>
      </c>
      <c r="AA22" s="46"/>
      <c r="AB22" s="46"/>
      <c r="AC22" s="46"/>
      <c r="AD22" s="46"/>
      <c r="AE22" s="46"/>
      <c r="AF22" s="46"/>
      <c r="AH22" s="56"/>
      <c r="AI22" s="28"/>
      <c r="AJ22" s="47"/>
      <c r="AK22" s="12"/>
      <c r="AL22" s="3"/>
      <c r="AM22" s="3"/>
      <c r="AP22" s="44"/>
    </row>
    <row r="23" spans="1:44" s="7" customFormat="1" ht="24.75" customHeight="1" x14ac:dyDescent="0.3">
      <c r="A23" s="2"/>
      <c r="B23" s="2"/>
      <c r="C23" s="2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H23" s="27"/>
      <c r="AI23" s="53"/>
      <c r="AJ23" s="47"/>
      <c r="AK23" s="12"/>
      <c r="AL23" s="3"/>
      <c r="AM23" s="3"/>
      <c r="AN23" s="3"/>
      <c r="AO23" s="44"/>
      <c r="AP23" s="44"/>
    </row>
    <row r="24" spans="1:44" s="7" customFormat="1" ht="24.75" customHeight="1" x14ac:dyDescent="0.3">
      <c r="A24" s="2"/>
      <c r="B24" s="2"/>
      <c r="C24" s="2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27"/>
      <c r="AI24" s="53"/>
      <c r="AJ24" s="47"/>
      <c r="AP24" s="44"/>
      <c r="AQ24" s="3"/>
      <c r="AR24" s="3"/>
    </row>
    <row r="25" spans="1:44" ht="24.75" customHeight="1" x14ac:dyDescent="0.3">
      <c r="AK25" s="12"/>
      <c r="AL25" s="7"/>
      <c r="AM25" s="7"/>
      <c r="AN25" s="7"/>
      <c r="AO25" s="7"/>
      <c r="AP25" s="44"/>
    </row>
    <row r="26" spans="1:44" ht="24.75" customHeight="1" x14ac:dyDescent="0.3">
      <c r="AK26" s="54"/>
      <c r="AL26" s="57"/>
      <c r="AM26" s="57"/>
      <c r="AP26" s="44"/>
    </row>
    <row r="27" spans="1:44" ht="24.75" customHeight="1" x14ac:dyDescent="0.3">
      <c r="AG27" s="54"/>
      <c r="AK27" s="12"/>
      <c r="AL27" s="57"/>
      <c r="AM27" s="57"/>
      <c r="AP27" s="44"/>
    </row>
    <row r="28" spans="1:44" ht="24.75" customHeight="1" x14ac:dyDescent="0.3">
      <c r="AG28" s="54"/>
      <c r="AK28" s="12"/>
      <c r="AL28" s="57"/>
      <c r="AM28" s="57"/>
      <c r="AN28" s="4"/>
      <c r="AO28" s="44"/>
      <c r="AP28" s="44"/>
    </row>
    <row r="29" spans="1:44" ht="24.75" customHeight="1" x14ac:dyDescent="0.3">
      <c r="AK29" s="12"/>
      <c r="AL29" s="3"/>
      <c r="AO29" s="44"/>
      <c r="AP29" s="44"/>
      <c r="AQ29" s="4"/>
      <c r="AR29" s="4"/>
    </row>
    <row r="30" spans="1:44" s="4" customFormat="1" ht="24.75" customHeight="1" x14ac:dyDescent="0.3">
      <c r="A30" s="2"/>
      <c r="B30" s="2"/>
      <c r="C30" s="2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27"/>
      <c r="AH30" s="27"/>
      <c r="AI30" s="53"/>
      <c r="AJ30" s="47"/>
      <c r="AK30" s="47"/>
      <c r="AL30" s="7"/>
      <c r="AM30" s="7"/>
      <c r="AN30" s="7"/>
      <c r="AO30" s="7"/>
      <c r="AP30" s="3"/>
      <c r="AQ30" s="3"/>
      <c r="AR30" s="3"/>
    </row>
    <row r="31" spans="1:44" ht="24.75" customHeight="1" x14ac:dyDescent="0.3">
      <c r="AG31" s="27"/>
      <c r="AL31" s="7"/>
      <c r="AM31" s="7"/>
      <c r="AN31" s="7"/>
      <c r="AO31" s="7"/>
    </row>
    <row r="32" spans="1:44" ht="24.75" customHeight="1" x14ac:dyDescent="0.3">
      <c r="AG32" s="27"/>
      <c r="AL32" s="7"/>
      <c r="AM32" s="7"/>
      <c r="AN32" s="7"/>
      <c r="AO32" s="7"/>
    </row>
    <row r="33" spans="1:44" ht="24.75" customHeight="1" x14ac:dyDescent="0.3">
      <c r="AG33" s="27"/>
      <c r="AQ33" s="6"/>
      <c r="AR33" s="6"/>
    </row>
    <row r="34" spans="1:44" s="6" customFormat="1" ht="24.75" customHeight="1" x14ac:dyDescent="0.3">
      <c r="A34" s="2"/>
      <c r="B34" s="2"/>
      <c r="C34" s="2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27"/>
      <c r="AH34" s="27"/>
      <c r="AI34" s="53"/>
      <c r="AJ34" s="47"/>
      <c r="AK34" s="47"/>
      <c r="AL34" s="25"/>
      <c r="AM34" s="3"/>
      <c r="AN34" s="3"/>
      <c r="AO34" s="3"/>
      <c r="AP34" s="3"/>
    </row>
    <row r="35" spans="1:44" s="6" customFormat="1" ht="24.75" customHeight="1" x14ac:dyDescent="0.3">
      <c r="A35" s="2"/>
      <c r="B35" s="2"/>
      <c r="C35" s="2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27"/>
      <c r="AH35" s="27"/>
      <c r="AI35" s="53"/>
      <c r="AJ35" s="47"/>
      <c r="AK35" s="47"/>
      <c r="AL35" s="25"/>
      <c r="AM35" s="3"/>
      <c r="AN35" s="3"/>
      <c r="AO35" s="3"/>
      <c r="AP35" s="3"/>
    </row>
    <row r="36" spans="1:44" s="6" customFormat="1" ht="24.75" customHeight="1" x14ac:dyDescent="0.3">
      <c r="A36" s="2"/>
      <c r="B36" s="2"/>
      <c r="C36" s="2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27"/>
      <c r="AI36" s="53"/>
      <c r="AJ36" s="47"/>
      <c r="AK36" s="47"/>
      <c r="AL36" s="25"/>
      <c r="AM36" s="3"/>
      <c r="AN36" s="3"/>
      <c r="AO36" s="3"/>
      <c r="AP36" s="3"/>
    </row>
    <row r="37" spans="1:44" s="6" customFormat="1" ht="24.75" customHeight="1" x14ac:dyDescent="0.3">
      <c r="A37" s="2"/>
      <c r="B37" s="2"/>
      <c r="C37" s="2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27"/>
      <c r="AI37" s="53"/>
      <c r="AJ37" s="47"/>
      <c r="AK37" s="47"/>
      <c r="AL37" s="25"/>
      <c r="AM37" s="3"/>
      <c r="AN37" s="3"/>
      <c r="AO37" s="3"/>
      <c r="AP37" s="3"/>
    </row>
    <row r="38" spans="1:44" s="6" customFormat="1" ht="24.75" customHeight="1" x14ac:dyDescent="0.3">
      <c r="A38" s="2"/>
      <c r="B38" s="2"/>
      <c r="C38" s="2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27"/>
      <c r="AI38" s="53"/>
      <c r="AJ38" s="47"/>
      <c r="AK38" s="47"/>
      <c r="AL38" s="25"/>
      <c r="AM38" s="3"/>
      <c r="AN38" s="3"/>
      <c r="AO38" s="3"/>
      <c r="AP38" s="3"/>
    </row>
    <row r="39" spans="1:44" s="6" customFormat="1" ht="24.75" customHeight="1" x14ac:dyDescent="0.3">
      <c r="A39" s="2"/>
      <c r="B39" s="2"/>
      <c r="C39" s="2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27"/>
      <c r="AI39" s="53"/>
      <c r="AJ39" s="47"/>
      <c r="AK39" s="47"/>
      <c r="AL39" s="25"/>
      <c r="AM39" s="3"/>
      <c r="AN39" s="3"/>
      <c r="AO39" s="3"/>
      <c r="AP39" s="3"/>
      <c r="AQ39" s="3"/>
      <c r="AR39" s="3"/>
    </row>
  </sheetData>
  <mergeCells count="61">
    <mergeCell ref="B21:C21"/>
    <mergeCell ref="D21:M21"/>
    <mergeCell ref="T21:U21"/>
    <mergeCell ref="A22:M22"/>
    <mergeCell ref="W22:Y22"/>
    <mergeCell ref="B19:C19"/>
    <mergeCell ref="D19:M19"/>
    <mergeCell ref="T19:U19"/>
    <mergeCell ref="B20:C20"/>
    <mergeCell ref="D20:M20"/>
    <mergeCell ref="T20:U20"/>
    <mergeCell ref="B17:C17"/>
    <mergeCell ref="D17:M17"/>
    <mergeCell ref="T17:U17"/>
    <mergeCell ref="B18:C18"/>
    <mergeCell ref="D18:M18"/>
    <mergeCell ref="T18:U18"/>
    <mergeCell ref="R3:S3"/>
    <mergeCell ref="B16:C16"/>
    <mergeCell ref="T16:U16"/>
    <mergeCell ref="B11:C11"/>
    <mergeCell ref="D11:E11"/>
    <mergeCell ref="F11:G11"/>
    <mergeCell ref="T11:U11"/>
    <mergeCell ref="B12:C12"/>
    <mergeCell ref="T12:U12"/>
    <mergeCell ref="T13:U13"/>
    <mergeCell ref="T14:U14"/>
    <mergeCell ref="B15:C15"/>
    <mergeCell ref="D15:I15"/>
    <mergeCell ref="T15:U15"/>
    <mergeCell ref="B10:C10"/>
    <mergeCell ref="T10:U10"/>
    <mergeCell ref="P5:Q6"/>
    <mergeCell ref="R5:S6"/>
    <mergeCell ref="T5:U6"/>
    <mergeCell ref="D6:E6"/>
    <mergeCell ref="F6:G6"/>
    <mergeCell ref="H6:I6"/>
    <mergeCell ref="N5:O6"/>
    <mergeCell ref="T7:U7"/>
    <mergeCell ref="B8:C8"/>
    <mergeCell ref="T8:U8"/>
    <mergeCell ref="B9:C9"/>
    <mergeCell ref="T9:U9"/>
    <mergeCell ref="T3:U3"/>
    <mergeCell ref="A5:A6"/>
    <mergeCell ref="B5:C6"/>
    <mergeCell ref="D5:I5"/>
    <mergeCell ref="J5:K6"/>
    <mergeCell ref="L5:M6"/>
    <mergeCell ref="A4:C4"/>
    <mergeCell ref="T4:U4"/>
    <mergeCell ref="A3:C3"/>
    <mergeCell ref="D3:E3"/>
    <mergeCell ref="F3:G3"/>
    <mergeCell ref="H3:I3"/>
    <mergeCell ref="J3:K3"/>
    <mergeCell ref="L3:M3"/>
    <mergeCell ref="N3:O3"/>
    <mergeCell ref="P3:Q3"/>
  </mergeCells>
  <phoneticPr fontId="3" type="noConversion"/>
  <dataValidations count="5">
    <dataValidation type="list" allowBlank="1" showInputMessage="1" showErrorMessage="1" sqref="J9" xr:uid="{5BE4FF4D-7B3B-46AE-8537-0D86A17A36F4}">
      <formula1>"1.4,1.6,2.0"</formula1>
    </dataValidation>
    <dataValidation type="list" allowBlank="1" showInputMessage="1" showErrorMessage="1" sqref="R4" xr:uid="{190BC135-B27F-4C74-B3B6-61C558750EFA}">
      <formula1>"75,100,125,150"</formula1>
    </dataValidation>
    <dataValidation type="list" allowBlank="1" showInputMessage="1" showErrorMessage="1" sqref="D11:E11" xr:uid="{F80FBAD8-C2C3-48C4-8F18-AD8D7FD1A2AD}">
      <formula1>"75*30,75*45"</formula1>
    </dataValidation>
    <dataValidation type="list" allowBlank="1" showInputMessage="1" showErrorMessage="1" sqref="B13" xr:uid="{5EA19F25-8E85-413F-8820-EFAEEBCFB1DB}">
      <formula1>"HR,아연도"</formula1>
    </dataValidation>
    <dataValidation type="list" allowBlank="1" showInputMessage="1" showErrorMessage="1" sqref="B7" xr:uid="{B36E73D5-9EAB-41AC-AC86-23140B0A943E}">
      <formula1>"85바,95바"</formula1>
    </dataValidation>
  </dataValidations>
  <printOptions horizontalCentered="1" verticalCentered="1"/>
  <pageMargins left="0.19685039370078741" right="0.19685039370078741" top="0.55118110236220474" bottom="0.35433070866141736" header="0.11811023622047245" footer="0.11811023622047245"/>
  <pageSetup paperSize="9" scale="91" orientation="landscape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18BD4-FBBF-484E-861F-7164527F5FA2}">
  <sheetPr>
    <pageSetUpPr fitToPage="1"/>
  </sheetPr>
  <dimension ref="A1:AR39"/>
  <sheetViews>
    <sheetView view="pageBreakPreview" zoomScale="85" zoomScaleNormal="85" zoomScaleSheetLayoutView="85" workbookViewId="0">
      <selection activeCell="W19" sqref="W19"/>
    </sheetView>
  </sheetViews>
  <sheetFormatPr defaultColWidth="9" defaultRowHeight="24" customHeight="1" x14ac:dyDescent="0.3"/>
  <cols>
    <col min="1" max="1" width="6.375" style="2" customWidth="1"/>
    <col min="2" max="2" width="7.75" style="2" customWidth="1"/>
    <col min="3" max="3" width="11.75" style="2" customWidth="1"/>
    <col min="4" max="4" width="6.75" style="3" customWidth="1"/>
    <col min="5" max="5" width="4.375" style="3" customWidth="1"/>
    <col min="6" max="6" width="6.75" style="3" customWidth="1"/>
    <col min="7" max="7" width="4.375" style="3" customWidth="1"/>
    <col min="8" max="8" width="6.75" style="3" customWidth="1"/>
    <col min="9" max="9" width="4.375" style="3" customWidth="1"/>
    <col min="10" max="10" width="7.875" style="3" customWidth="1"/>
    <col min="11" max="11" width="4.375" style="3" customWidth="1"/>
    <col min="12" max="12" width="7.875" style="3" customWidth="1"/>
    <col min="13" max="13" width="4.375" style="3" customWidth="1"/>
    <col min="14" max="14" width="8.125" style="3" customWidth="1"/>
    <col min="15" max="15" width="4.375" style="3" customWidth="1"/>
    <col min="16" max="16" width="9.5" style="3" customWidth="1"/>
    <col min="17" max="17" width="4.375" style="3" customWidth="1"/>
    <col min="18" max="18" width="12.25" style="3" customWidth="1"/>
    <col min="19" max="19" width="4.875" style="3" customWidth="1"/>
    <col min="20" max="20" width="11.375" style="3" customWidth="1"/>
    <col min="21" max="21" width="5.5" style="3" customWidth="1"/>
    <col min="22" max="22" width="13" style="5" customWidth="1"/>
    <col min="23" max="23" width="16" style="5" customWidth="1"/>
    <col min="24" max="32" width="13" style="5" customWidth="1"/>
    <col min="33" max="33" width="12.875" style="5" hidden="1" customWidth="1"/>
    <col min="34" max="34" width="9.75" style="27" hidden="1" customWidth="1"/>
    <col min="35" max="35" width="9.75" style="53" hidden="1" customWidth="1"/>
    <col min="36" max="37" width="9" style="47" customWidth="1"/>
    <col min="38" max="38" width="9" style="25"/>
    <col min="39" max="16384" width="9" style="3"/>
  </cols>
  <sheetData>
    <row r="1" spans="1:41" s="5" customFormat="1" ht="24" customHeight="1" x14ac:dyDescent="0.3">
      <c r="A1" s="1" t="s">
        <v>102</v>
      </c>
      <c r="B1" s="1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26"/>
      <c r="T1" s="3"/>
      <c r="U1" s="3"/>
      <c r="AH1" s="27"/>
      <c r="AI1" s="28"/>
      <c r="AJ1" s="27"/>
      <c r="AK1" s="27"/>
      <c r="AL1" s="4"/>
    </row>
    <row r="2" spans="1:41" s="5" customFormat="1" ht="24" customHeight="1" thickBot="1" x14ac:dyDescent="0.35">
      <c r="A2" s="1"/>
      <c r="B2" s="1"/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26"/>
      <c r="T2" s="3"/>
      <c r="U2" s="3"/>
      <c r="Z2" s="39" t="s">
        <v>110</v>
      </c>
      <c r="AH2" s="27"/>
      <c r="AI2" s="28"/>
      <c r="AJ2" s="27"/>
      <c r="AK2" s="27"/>
      <c r="AL2" s="4"/>
    </row>
    <row r="3" spans="1:41" s="7" customFormat="1" ht="24" customHeight="1" x14ac:dyDescent="0.3">
      <c r="A3" s="133" t="s">
        <v>0</v>
      </c>
      <c r="B3" s="134"/>
      <c r="C3" s="135"/>
      <c r="D3" s="136" t="s">
        <v>1</v>
      </c>
      <c r="E3" s="135"/>
      <c r="F3" s="137" t="s">
        <v>2</v>
      </c>
      <c r="G3" s="135"/>
      <c r="H3" s="137" t="s">
        <v>3</v>
      </c>
      <c r="I3" s="135"/>
      <c r="J3" s="138" t="s">
        <v>104</v>
      </c>
      <c r="K3" s="139"/>
      <c r="L3" s="140" t="s">
        <v>116</v>
      </c>
      <c r="M3" s="139"/>
      <c r="N3" s="140" t="s">
        <v>5</v>
      </c>
      <c r="O3" s="141"/>
      <c r="P3" s="140" t="s">
        <v>6</v>
      </c>
      <c r="Q3" s="141"/>
      <c r="R3" s="117" t="s">
        <v>40</v>
      </c>
      <c r="S3" s="153"/>
      <c r="T3" s="117" t="s">
        <v>7</v>
      </c>
      <c r="U3" s="118"/>
      <c r="V3" s="5"/>
      <c r="W3" s="29" t="s">
        <v>41</v>
      </c>
      <c r="X3" s="30"/>
      <c r="Y3" s="28"/>
      <c r="Z3" s="39" t="s">
        <v>106</v>
      </c>
      <c r="AA3" s="27"/>
      <c r="AB3" s="27"/>
      <c r="AC3" s="27"/>
      <c r="AD3" s="27"/>
      <c r="AE3" s="27"/>
      <c r="AF3" s="27"/>
    </row>
    <row r="4" spans="1:41" s="7" customFormat="1" ht="24" customHeight="1" x14ac:dyDescent="0.3">
      <c r="A4" s="129" t="s">
        <v>42</v>
      </c>
      <c r="B4" s="130"/>
      <c r="C4" s="127"/>
      <c r="D4" s="8">
        <v>2585</v>
      </c>
      <c r="E4" s="9" t="s">
        <v>10</v>
      </c>
      <c r="F4" s="8">
        <v>1000</v>
      </c>
      <c r="G4" s="9" t="s">
        <v>10</v>
      </c>
      <c r="H4" s="8">
        <v>3500</v>
      </c>
      <c r="I4" s="9" t="s">
        <v>10</v>
      </c>
      <c r="J4" s="10">
        <v>2</v>
      </c>
      <c r="K4" s="11" t="s">
        <v>43</v>
      </c>
      <c r="L4" s="10">
        <v>4</v>
      </c>
      <c r="M4" s="11" t="s">
        <v>44</v>
      </c>
      <c r="N4" s="10">
        <v>1</v>
      </c>
      <c r="O4" s="9" t="s">
        <v>13</v>
      </c>
      <c r="P4" s="10">
        <v>1</v>
      </c>
      <c r="Q4" s="9" t="s">
        <v>13</v>
      </c>
      <c r="R4" s="32">
        <v>125</v>
      </c>
      <c r="S4" s="33" t="s">
        <v>45</v>
      </c>
      <c r="T4" s="131" t="s">
        <v>78</v>
      </c>
      <c r="U4" s="132"/>
      <c r="V4" s="12"/>
      <c r="W4" s="34" t="s">
        <v>46</v>
      </c>
      <c r="X4" s="35">
        <f>F4-118</f>
        <v>882</v>
      </c>
      <c r="Y4" s="36" t="s">
        <v>10</v>
      </c>
      <c r="Z4" s="39" t="s">
        <v>107</v>
      </c>
      <c r="AA4" s="27"/>
      <c r="AB4" s="27"/>
      <c r="AC4" s="27"/>
      <c r="AD4" s="27"/>
      <c r="AE4" s="27"/>
      <c r="AF4" s="27"/>
      <c r="AG4" s="34">
        <v>980</v>
      </c>
      <c r="AH4" s="12"/>
    </row>
    <row r="5" spans="1:41" s="7" customFormat="1" ht="24" customHeight="1" x14ac:dyDescent="0.3">
      <c r="A5" s="119" t="s">
        <v>16</v>
      </c>
      <c r="B5" s="121" t="s">
        <v>17</v>
      </c>
      <c r="C5" s="122"/>
      <c r="D5" s="125" t="s">
        <v>18</v>
      </c>
      <c r="E5" s="126"/>
      <c r="F5" s="126"/>
      <c r="G5" s="126"/>
      <c r="H5" s="126"/>
      <c r="I5" s="127"/>
      <c r="J5" s="121" t="s">
        <v>19</v>
      </c>
      <c r="K5" s="122"/>
      <c r="L5" s="128" t="s">
        <v>20</v>
      </c>
      <c r="M5" s="122"/>
      <c r="N5" s="121" t="s">
        <v>21</v>
      </c>
      <c r="O5" s="145"/>
      <c r="P5" s="128" t="s">
        <v>22</v>
      </c>
      <c r="Q5" s="122"/>
      <c r="R5" s="128" t="s">
        <v>23</v>
      </c>
      <c r="S5" s="145"/>
      <c r="T5" s="128" t="s">
        <v>47</v>
      </c>
      <c r="U5" s="148"/>
      <c r="V5" s="12"/>
      <c r="W5" s="34" t="s">
        <v>48</v>
      </c>
      <c r="X5" s="37">
        <v>750</v>
      </c>
      <c r="Y5" s="36" t="s">
        <v>49</v>
      </c>
      <c r="Z5" s="39" t="s">
        <v>113</v>
      </c>
      <c r="AA5" s="27"/>
      <c r="AB5" s="27"/>
      <c r="AC5" s="27"/>
      <c r="AD5" s="27"/>
      <c r="AE5" s="27"/>
      <c r="AF5" s="27"/>
      <c r="AG5" s="41">
        <v>75</v>
      </c>
      <c r="AH5" s="34">
        <v>186</v>
      </c>
      <c r="AI5" s="40">
        <v>1300</v>
      </c>
      <c r="AJ5" s="12"/>
    </row>
    <row r="6" spans="1:41" s="7" customFormat="1" ht="24" customHeight="1" x14ac:dyDescent="0.3">
      <c r="A6" s="120"/>
      <c r="B6" s="123"/>
      <c r="C6" s="124"/>
      <c r="D6" s="150" t="s">
        <v>1</v>
      </c>
      <c r="E6" s="127"/>
      <c r="F6" s="125" t="s">
        <v>2</v>
      </c>
      <c r="G6" s="127"/>
      <c r="H6" s="125" t="s">
        <v>3</v>
      </c>
      <c r="I6" s="127"/>
      <c r="J6" s="123"/>
      <c r="K6" s="124"/>
      <c r="L6" s="123"/>
      <c r="M6" s="124"/>
      <c r="N6" s="146"/>
      <c r="O6" s="147"/>
      <c r="P6" s="123"/>
      <c r="Q6" s="124"/>
      <c r="R6" s="146"/>
      <c r="S6" s="147"/>
      <c r="T6" s="146"/>
      <c r="U6" s="149"/>
      <c r="V6" s="12"/>
      <c r="W6" s="34" t="s">
        <v>50</v>
      </c>
      <c r="X6" s="35">
        <f>ROUNDDOWN((H4-X9)/X5,0)</f>
        <v>4</v>
      </c>
      <c r="Y6" s="36" t="s">
        <v>27</v>
      </c>
      <c r="Z6" s="39" t="s">
        <v>118</v>
      </c>
      <c r="AA6" s="27"/>
      <c r="AB6" s="27"/>
      <c r="AC6" s="27"/>
      <c r="AD6" s="27"/>
      <c r="AE6" s="27"/>
      <c r="AF6" s="27"/>
      <c r="AG6" s="41">
        <v>100</v>
      </c>
      <c r="AH6" s="41">
        <v>211</v>
      </c>
      <c r="AI6" s="40">
        <v>1400</v>
      </c>
      <c r="AJ6" s="39"/>
    </row>
    <row r="7" spans="1:41" s="7" customFormat="1" ht="24" customHeight="1" x14ac:dyDescent="0.3">
      <c r="A7" s="14">
        <v>1</v>
      </c>
      <c r="B7" s="96" t="s">
        <v>96</v>
      </c>
      <c r="C7" s="95" t="s">
        <v>24</v>
      </c>
      <c r="D7" s="16"/>
      <c r="E7" s="9" t="s">
        <v>10</v>
      </c>
      <c r="F7" s="16"/>
      <c r="G7" s="9" t="s">
        <v>10</v>
      </c>
      <c r="H7" s="16">
        <f>H4</f>
        <v>3500</v>
      </c>
      <c r="I7" s="9" t="s">
        <v>10</v>
      </c>
      <c r="J7" s="110">
        <v>1.8</v>
      </c>
      <c r="K7" s="94" t="s">
        <v>25</v>
      </c>
      <c r="L7" s="104">
        <f>IF(B7="85바",243*H7*J7*7.85/10^6,IF(B7="95바",265*H7*J7*7.85/10^6))</f>
        <v>12.017564999999999</v>
      </c>
      <c r="M7" s="9" t="s">
        <v>26</v>
      </c>
      <c r="N7" s="16">
        <f>N4*4+P4*2</f>
        <v>6</v>
      </c>
      <c r="O7" s="9" t="s">
        <v>27</v>
      </c>
      <c r="P7" s="19">
        <f t="shared" ref="P7:P15" si="0">L7*N7</f>
        <v>72.10539</v>
      </c>
      <c r="Q7" s="9" t="s">
        <v>26</v>
      </c>
      <c r="R7" s="20">
        <f>P7*IF(AND(1.6&lt;J7,J7&lt;2),$AG$4+10,IF(AND(1.4&lt;J7,J7&lt;=1.6),$AG$4+20,IF(J7&lt;=1.4,$AG$4+40,$AG$4)))+IF(B7="85바",150*((243*H7*(IF(J7&lt;=1.8,1.8,J7))*7.85/10^6)*N7),IF(B7="95바",150*((265*H7*(IF(J7&lt;=1.8,1.8,J7))*7.85/10^6)*N7)))+H7/1000*N7*IF(B7="85바",IF(H7&lt;8800,1100,1300),IF(B7="95바",IF(H7&lt;8800,1200,1800)))</f>
        <v>105300.1446</v>
      </c>
      <c r="S7" s="9" t="s">
        <v>8</v>
      </c>
      <c r="T7" s="151"/>
      <c r="U7" s="152"/>
      <c r="V7" s="12"/>
      <c r="W7" s="34" t="s">
        <v>51</v>
      </c>
      <c r="X7" s="35">
        <f>H4-SUM(X8:X9)</f>
        <v>100</v>
      </c>
      <c r="Y7" s="36" t="s">
        <v>10</v>
      </c>
      <c r="Z7" s="39" t="s">
        <v>117</v>
      </c>
      <c r="AA7" s="27"/>
      <c r="AB7" s="27"/>
      <c r="AC7" s="27"/>
      <c r="AD7" s="27"/>
      <c r="AE7" s="27"/>
      <c r="AF7" s="27"/>
      <c r="AG7" s="41">
        <v>125</v>
      </c>
      <c r="AH7" s="41">
        <v>236</v>
      </c>
      <c r="AI7" s="40">
        <v>1500</v>
      </c>
      <c r="AJ7" s="39"/>
    </row>
    <row r="8" spans="1:41" s="7" customFormat="1" ht="24" customHeight="1" x14ac:dyDescent="0.3">
      <c r="A8" s="14">
        <v>2</v>
      </c>
      <c r="B8" s="125" t="s">
        <v>52</v>
      </c>
      <c r="C8" s="142"/>
      <c r="D8" s="16">
        <v>173</v>
      </c>
      <c r="E8" s="9" t="s">
        <v>10</v>
      </c>
      <c r="F8" s="16">
        <v>101</v>
      </c>
      <c r="G8" s="9" t="s">
        <v>10</v>
      </c>
      <c r="H8" s="16"/>
      <c r="I8" s="9" t="s">
        <v>10</v>
      </c>
      <c r="J8" s="42">
        <v>4</v>
      </c>
      <c r="K8" s="94" t="s">
        <v>25</v>
      </c>
      <c r="L8" s="18">
        <f>D8*F8*J8*7.85/10^6</f>
        <v>0.54865219999999992</v>
      </c>
      <c r="M8" s="9" t="s">
        <v>26</v>
      </c>
      <c r="N8" s="16">
        <f>N7</f>
        <v>6</v>
      </c>
      <c r="O8" s="9" t="s">
        <v>27</v>
      </c>
      <c r="P8" s="19">
        <f t="shared" si="0"/>
        <v>3.2919131999999998</v>
      </c>
      <c r="Q8" s="9" t="s">
        <v>26</v>
      </c>
      <c r="R8" s="20">
        <f>P8*1100+N8*300</f>
        <v>5421.1045199999999</v>
      </c>
      <c r="S8" s="9" t="s">
        <v>8</v>
      </c>
      <c r="T8" s="151"/>
      <c r="U8" s="152"/>
      <c r="V8" s="12"/>
      <c r="W8" s="34" t="s">
        <v>53</v>
      </c>
      <c r="X8" s="35">
        <f>X5*X6</f>
        <v>3000</v>
      </c>
      <c r="Y8" s="36" t="s">
        <v>10</v>
      </c>
      <c r="Z8" s="39" t="s">
        <v>147</v>
      </c>
      <c r="AA8" s="27"/>
      <c r="AB8" s="27"/>
      <c r="AC8" s="27"/>
      <c r="AD8" s="27"/>
      <c r="AE8" s="27"/>
      <c r="AF8" s="27"/>
      <c r="AG8" s="41">
        <v>150</v>
      </c>
      <c r="AH8" s="41">
        <v>261</v>
      </c>
      <c r="AI8" s="40">
        <v>1700</v>
      </c>
      <c r="AJ8" s="39"/>
    </row>
    <row r="9" spans="1:41" s="7" customFormat="1" ht="24" customHeight="1" x14ac:dyDescent="0.3">
      <c r="A9" s="14">
        <v>3</v>
      </c>
      <c r="B9" s="125" t="s">
        <v>66</v>
      </c>
      <c r="C9" s="142"/>
      <c r="D9" s="16">
        <f>IF($B$7="85바",($D$4-95),IF($B$7="95바",($D$4-105)))</f>
        <v>2490</v>
      </c>
      <c r="E9" s="9" t="s">
        <v>10</v>
      </c>
      <c r="F9" s="16"/>
      <c r="G9" s="9" t="s">
        <v>10</v>
      </c>
      <c r="H9" s="16"/>
      <c r="I9" s="9" t="s">
        <v>10</v>
      </c>
      <c r="J9" s="17">
        <v>1.6</v>
      </c>
      <c r="K9" s="94" t="s">
        <v>25</v>
      </c>
      <c r="L9" s="43">
        <f>D9*(VLOOKUP($R$4,$AG$5:$AI$8,2,0))*2*J9*7.85/10^6</f>
        <v>14.761516799999999</v>
      </c>
      <c r="M9" s="9" t="s">
        <v>26</v>
      </c>
      <c r="N9" s="16">
        <f>(N4+P4)*J4*2</f>
        <v>8</v>
      </c>
      <c r="O9" s="9" t="s">
        <v>27</v>
      </c>
      <c r="P9" s="19">
        <f t="shared" si="0"/>
        <v>118.09213439999999</v>
      </c>
      <c r="Q9" s="9" t="s">
        <v>26</v>
      </c>
      <c r="R9" s="20">
        <f>P9*IF(AND(1.6&lt;J9,J9&lt;2),$AG$4+10,IF(AND(1.4&lt;J9,J9&lt;=1.6),$AG$4+20,IF(J9&lt;=1.4,$AG$4+40,$AG$4)))+(IF(J9&lt;=1.6,(D9*(VLOOKUP($R$4,$AG$5:$AI$8,2,0))*2*1.6*7.85/10^6)*N9,(D9*(VLOOKUP($R$4,$AG$5:$AI$8,2,0))*2*J9*7.85/10^6)*N9)*(120+40)+N9*IF(D9&lt;2990,(VLOOKUP($R$4,$AG$5:$AI$8,3,0)),((VLOOKUP($R$4,$AG$5:$AI$8,3,0))+500)))+(D9+100)*N9*1100/1000</f>
        <v>171778.87590399999</v>
      </c>
      <c r="S9" s="9" t="s">
        <v>8</v>
      </c>
      <c r="T9" s="151"/>
      <c r="U9" s="152"/>
      <c r="V9" s="12"/>
      <c r="W9" s="34" t="s">
        <v>55</v>
      </c>
      <c r="X9" s="37">
        <v>400</v>
      </c>
      <c r="Y9" s="36" t="s">
        <v>10</v>
      </c>
      <c r="Z9" s="39" t="s">
        <v>148</v>
      </c>
      <c r="AA9" s="27"/>
      <c r="AB9" s="27"/>
      <c r="AC9" s="27"/>
      <c r="AD9" s="27"/>
      <c r="AE9" s="27"/>
      <c r="AF9" s="27"/>
      <c r="AH9" s="45"/>
      <c r="AI9" s="28"/>
      <c r="AJ9" s="39"/>
    </row>
    <row r="10" spans="1:41" s="7" customFormat="1" ht="24" customHeight="1" x14ac:dyDescent="0.3">
      <c r="A10" s="14">
        <v>4</v>
      </c>
      <c r="B10" s="125" t="s">
        <v>56</v>
      </c>
      <c r="C10" s="142"/>
      <c r="D10" s="16">
        <v>101</v>
      </c>
      <c r="E10" s="9" t="s">
        <v>10</v>
      </c>
      <c r="F10" s="16">
        <v>200</v>
      </c>
      <c r="G10" s="9" t="s">
        <v>10</v>
      </c>
      <c r="H10" s="16"/>
      <c r="I10" s="9" t="s">
        <v>10</v>
      </c>
      <c r="J10" s="42">
        <v>4</v>
      </c>
      <c r="K10" s="94" t="s">
        <v>25</v>
      </c>
      <c r="L10" s="18">
        <f>D10*F10*J10*7.85/10^6</f>
        <v>0.63427999999999995</v>
      </c>
      <c r="M10" s="9" t="s">
        <v>26</v>
      </c>
      <c r="N10" s="16">
        <f>N9*2</f>
        <v>16</v>
      </c>
      <c r="O10" s="9" t="s">
        <v>27</v>
      </c>
      <c r="P10" s="19">
        <f>L10*N10</f>
        <v>10.148479999999999</v>
      </c>
      <c r="Q10" s="9" t="s">
        <v>26</v>
      </c>
      <c r="R10" s="20">
        <f>P10*1020+N10*350</f>
        <v>15951.4496</v>
      </c>
      <c r="S10" s="9" t="s">
        <v>8</v>
      </c>
      <c r="T10" s="143"/>
      <c r="U10" s="144"/>
      <c r="V10" s="12"/>
      <c r="W10" s="39"/>
      <c r="X10" s="5"/>
      <c r="Y10" s="5"/>
      <c r="Z10" s="39" t="s">
        <v>115</v>
      </c>
      <c r="AA10" s="5"/>
      <c r="AB10" s="5"/>
      <c r="AC10" s="5"/>
      <c r="AD10" s="5"/>
      <c r="AE10" s="5"/>
      <c r="AF10" s="5"/>
      <c r="AJ10" s="27"/>
      <c r="AK10" s="12"/>
      <c r="AL10" s="4"/>
    </row>
    <row r="11" spans="1:41" s="7" customFormat="1" ht="24" customHeight="1" x14ac:dyDescent="0.3">
      <c r="A11" s="14">
        <v>5</v>
      </c>
      <c r="B11" s="177" t="s">
        <v>67</v>
      </c>
      <c r="C11" s="178"/>
      <c r="D11" s="59">
        <f>D9-15</f>
        <v>2475</v>
      </c>
      <c r="E11" s="60" t="s">
        <v>10</v>
      </c>
      <c r="F11" s="61">
        <v>50</v>
      </c>
      <c r="G11" s="60" t="s">
        <v>10</v>
      </c>
      <c r="H11" s="61"/>
      <c r="I11" s="60" t="s">
        <v>10</v>
      </c>
      <c r="J11" s="62">
        <v>3</v>
      </c>
      <c r="K11" s="63" t="s">
        <v>25</v>
      </c>
      <c r="L11" s="64">
        <f>D11/1000*1.12</f>
        <v>2.7720000000000002</v>
      </c>
      <c r="M11" s="60" t="s">
        <v>26</v>
      </c>
      <c r="N11" s="61">
        <f>N9</f>
        <v>8</v>
      </c>
      <c r="O11" s="9" t="s">
        <v>27</v>
      </c>
      <c r="P11" s="62">
        <f t="shared" si="0"/>
        <v>22.176000000000002</v>
      </c>
      <c r="Q11" s="9" t="s">
        <v>26</v>
      </c>
      <c r="R11" s="20">
        <f>(1310)*P11+N11*800+N11*900</f>
        <v>42650.559999999998</v>
      </c>
      <c r="S11" s="9" t="s">
        <v>8</v>
      </c>
      <c r="T11" s="151"/>
      <c r="U11" s="152"/>
      <c r="V11" s="12"/>
      <c r="W11" s="39"/>
      <c r="X11" s="5"/>
      <c r="Y11" s="5"/>
      <c r="Z11" s="39" t="s">
        <v>103</v>
      </c>
      <c r="AA11" s="5"/>
      <c r="AB11" s="5"/>
      <c r="AC11" s="5"/>
      <c r="AD11" s="5"/>
      <c r="AE11" s="5"/>
      <c r="AF11" s="5"/>
      <c r="AJ11" s="27"/>
      <c r="AK11" s="12"/>
      <c r="AL11" s="4"/>
    </row>
    <row r="12" spans="1:41" s="7" customFormat="1" ht="24" customHeight="1" x14ac:dyDescent="0.3">
      <c r="A12" s="14">
        <v>6</v>
      </c>
      <c r="B12" s="177" t="s">
        <v>68</v>
      </c>
      <c r="C12" s="178"/>
      <c r="D12" s="112">
        <f>F4-(50*2+10)</f>
        <v>890</v>
      </c>
      <c r="E12" s="60" t="s">
        <v>10</v>
      </c>
      <c r="F12" s="61">
        <f>(D9-10)/L4</f>
        <v>620</v>
      </c>
      <c r="G12" s="60" t="s">
        <v>10</v>
      </c>
      <c r="H12" s="61">
        <v>40</v>
      </c>
      <c r="I12" s="60" t="s">
        <v>10</v>
      </c>
      <c r="J12" s="64">
        <v>1.2</v>
      </c>
      <c r="K12" s="60" t="s">
        <v>25</v>
      </c>
      <c r="L12" s="62">
        <f>(D12+80-4)*(F12+110)*J12*7.85/1000000</f>
        <v>6.6427955999999995</v>
      </c>
      <c r="M12" s="63" t="s">
        <v>26</v>
      </c>
      <c r="N12" s="61">
        <f>N9/2*L4</f>
        <v>16</v>
      </c>
      <c r="O12" s="60" t="s">
        <v>27</v>
      </c>
      <c r="P12" s="64">
        <f t="shared" si="0"/>
        <v>106.28472959999999</v>
      </c>
      <c r="Q12" s="60" t="s">
        <v>26</v>
      </c>
      <c r="R12" s="20">
        <f>P12*(IF(J12&lt;1,$AG$4+20,$AG$4)+40)+P12*362+D12*F12/90000*N12*380</f>
        <v>184162.65186275553</v>
      </c>
      <c r="S12" s="9" t="s">
        <v>8</v>
      </c>
      <c r="T12" s="151"/>
      <c r="U12" s="152"/>
      <c r="V12" s="12"/>
      <c r="W12" s="39"/>
      <c r="X12" s="5"/>
      <c r="Y12" s="5"/>
      <c r="Z12" s="39" t="s">
        <v>111</v>
      </c>
      <c r="AA12" s="5"/>
      <c r="AB12" s="5"/>
      <c r="AC12" s="5"/>
      <c r="AD12" s="5"/>
      <c r="AE12" s="5"/>
      <c r="AF12" s="5"/>
      <c r="AJ12" s="27"/>
      <c r="AK12" s="12"/>
      <c r="AL12" s="4"/>
    </row>
    <row r="13" spans="1:41" s="7" customFormat="1" ht="24" customHeight="1" x14ac:dyDescent="0.3">
      <c r="A13" s="14">
        <v>7</v>
      </c>
      <c r="B13" s="177" t="s">
        <v>29</v>
      </c>
      <c r="C13" s="178"/>
      <c r="D13" s="61">
        <f>D12-15</f>
        <v>875</v>
      </c>
      <c r="E13" s="60" t="s">
        <v>10</v>
      </c>
      <c r="F13" s="61"/>
      <c r="G13" s="60" t="s">
        <v>10</v>
      </c>
      <c r="H13" s="61"/>
      <c r="I13" s="60" t="s">
        <v>10</v>
      </c>
      <c r="J13" s="64">
        <v>1</v>
      </c>
      <c r="K13" s="60" t="s">
        <v>25</v>
      </c>
      <c r="L13" s="62">
        <f>D13*135*J13*7.85/1000000</f>
        <v>0.92728124999999995</v>
      </c>
      <c r="M13" s="63" t="s">
        <v>26</v>
      </c>
      <c r="N13" s="61">
        <f>N12*2</f>
        <v>32</v>
      </c>
      <c r="O13" s="60" t="s">
        <v>27</v>
      </c>
      <c r="P13" s="64">
        <f t="shared" si="0"/>
        <v>29.672999999999998</v>
      </c>
      <c r="Q13" s="60" t="s">
        <v>26</v>
      </c>
      <c r="R13" s="20">
        <f>P13*(IF(J13&lt;1,$AG$4+20,$AG$4)+40)+P13*362</f>
        <v>41008.085999999996</v>
      </c>
      <c r="S13" s="9" t="s">
        <v>8</v>
      </c>
      <c r="T13" s="151"/>
      <c r="U13" s="152"/>
      <c r="V13" s="5"/>
      <c r="W13" s="5"/>
      <c r="X13" s="5"/>
      <c r="Y13" s="5"/>
      <c r="Z13" s="39" t="s">
        <v>136</v>
      </c>
      <c r="AA13" s="5"/>
      <c r="AB13" s="5"/>
      <c r="AC13" s="5"/>
      <c r="AD13" s="5"/>
      <c r="AE13" s="5"/>
      <c r="AF13" s="5"/>
      <c r="AJ13" s="27"/>
      <c r="AK13" s="5"/>
      <c r="AL13" s="4"/>
    </row>
    <row r="14" spans="1:41" s="7" customFormat="1" ht="24" customHeight="1" x14ac:dyDescent="0.3">
      <c r="A14" s="14">
        <v>8</v>
      </c>
      <c r="B14" s="96" t="s">
        <v>143</v>
      </c>
      <c r="C14" s="95" t="s">
        <v>98</v>
      </c>
      <c r="D14" s="16"/>
      <c r="E14" s="9" t="s">
        <v>10</v>
      </c>
      <c r="F14" s="111">
        <f>IF($B$7="85바",($F$4-125)+50,IF($B$7="95바",($F$4-135)+50))</f>
        <v>925</v>
      </c>
      <c r="G14" s="9" t="s">
        <v>10</v>
      </c>
      <c r="H14" s="16"/>
      <c r="I14" s="9" t="s">
        <v>10</v>
      </c>
      <c r="J14" s="102">
        <f t="shared" ref="J14:J15" si="1">IF(B14="HR",1.6,IF(B14="아연도",1.5))</f>
        <v>1.5</v>
      </c>
      <c r="K14" s="94" t="s">
        <v>25</v>
      </c>
      <c r="L14" s="18">
        <f>93*F14*J14*7.85/10^6</f>
        <v>1.012944375</v>
      </c>
      <c r="M14" s="9" t="s">
        <v>26</v>
      </c>
      <c r="N14" s="16">
        <f>N7</f>
        <v>6</v>
      </c>
      <c r="O14" s="9" t="s">
        <v>27</v>
      </c>
      <c r="P14" s="19">
        <f t="shared" si="0"/>
        <v>6.07766625</v>
      </c>
      <c r="Q14" s="9" t="s">
        <v>26</v>
      </c>
      <c r="R14" s="20">
        <f>P14*IF(B14="HR",IF(AND(1.6&lt;J14,J14&lt;2),$AG$4+10,IF(AND(1.4&lt;J14,J14&lt;=1.6),$AG$4+20,IF(J14&lt;=1.4,$AG$4+40,$AG$4))),IF(B14="아연도",IF(J14&lt;1,$AG$4+20,$AG$4)+120))+P14*240+F14/1000*IF(B14="HR",500,IF(B14="아연도",0))*N14</f>
        <v>8144.0727750000005</v>
      </c>
      <c r="S14" s="9" t="s">
        <v>8</v>
      </c>
      <c r="T14" s="151"/>
      <c r="U14" s="152"/>
      <c r="V14" s="5"/>
      <c r="W14" s="12"/>
      <c r="X14" s="5"/>
      <c r="Y14" s="5"/>
      <c r="Z14" s="39" t="s">
        <v>137</v>
      </c>
      <c r="AA14" s="5"/>
      <c r="AB14" s="5"/>
      <c r="AC14" s="5"/>
      <c r="AD14" s="5"/>
      <c r="AE14" s="5"/>
      <c r="AF14" s="5"/>
      <c r="AJ14" s="27"/>
      <c r="AK14" s="12"/>
      <c r="AL14" s="4"/>
    </row>
    <row r="15" spans="1:41" s="7" customFormat="1" ht="24" customHeight="1" x14ac:dyDescent="0.3">
      <c r="A15" s="14">
        <v>9</v>
      </c>
      <c r="B15" s="96" t="str">
        <f>B14</f>
        <v>아연도</v>
      </c>
      <c r="C15" s="95" t="s">
        <v>99</v>
      </c>
      <c r="D15" s="16"/>
      <c r="E15" s="9" t="s">
        <v>10</v>
      </c>
      <c r="F15" s="111">
        <f>IF($B$7="85바",SQRT(($F$4-125)^2+$X$5^2)+50,IF($B$7="95바",SQRT(($F$4-135)^2+$X$5^2)+50))</f>
        <v>1202.443057161611</v>
      </c>
      <c r="G15" s="9" t="s">
        <v>10</v>
      </c>
      <c r="H15" s="16"/>
      <c r="I15" s="9" t="s">
        <v>10</v>
      </c>
      <c r="J15" s="102">
        <f t="shared" si="1"/>
        <v>1.5</v>
      </c>
      <c r="K15" s="94" t="s">
        <v>25</v>
      </c>
      <c r="L15" s="18">
        <f>93*F15*J15*7.85/10^6</f>
        <v>1.3167653308212512</v>
      </c>
      <c r="M15" s="9" t="s">
        <v>26</v>
      </c>
      <c r="N15" s="16">
        <f>N7/2*X6</f>
        <v>12</v>
      </c>
      <c r="O15" s="9" t="s">
        <v>27</v>
      </c>
      <c r="P15" s="19">
        <f t="shared" si="0"/>
        <v>15.801183969855014</v>
      </c>
      <c r="Q15" s="9" t="s">
        <v>26</v>
      </c>
      <c r="R15" s="20">
        <f>P15*IF(B15="HR",IF(AND(1.6&lt;J15,J15&lt;2),$AG$4+10,IF(AND(1.4&lt;J15,J15&lt;=1.6),$AG$4+20,IF(J15&lt;=1.4,$AG$4+40,$AG$4))),IF(B15="아연도",IF(J15&lt;1,$AG$4+20,$AG$4)+120))+P15*240+F15/1000*IF(B15="HR",500,IF(B15="아연도",0))*N15</f>
        <v>21173.58651960572</v>
      </c>
      <c r="S15" s="9" t="s">
        <v>8</v>
      </c>
      <c r="T15" s="151"/>
      <c r="U15" s="152"/>
      <c r="V15" s="5"/>
      <c r="W15" s="12"/>
      <c r="X15" s="5"/>
      <c r="Y15" s="5"/>
      <c r="Z15" s="39" t="s">
        <v>138</v>
      </c>
      <c r="AA15" s="5"/>
      <c r="AB15" s="5"/>
      <c r="AC15" s="5"/>
      <c r="AD15" s="5"/>
      <c r="AE15" s="5"/>
      <c r="AF15" s="5"/>
      <c r="AJ15" s="27"/>
      <c r="AK15" s="54"/>
      <c r="AL15" s="4"/>
    </row>
    <row r="16" spans="1:41" s="7" customFormat="1" ht="24" customHeight="1" x14ac:dyDescent="0.3">
      <c r="A16" s="14">
        <v>10</v>
      </c>
      <c r="B16" s="125" t="s">
        <v>57</v>
      </c>
      <c r="C16" s="142"/>
      <c r="D16" s="159" t="s">
        <v>58</v>
      </c>
      <c r="E16" s="160"/>
      <c r="F16" s="160"/>
      <c r="G16" s="160"/>
      <c r="H16" s="160"/>
      <c r="I16" s="161"/>
      <c r="J16" s="19">
        <v>1.4</v>
      </c>
      <c r="K16" s="94" t="s">
        <v>25</v>
      </c>
      <c r="L16" s="18">
        <f>0.566*6/124</f>
        <v>2.7387096774193549E-2</v>
      </c>
      <c r="M16" s="9" t="s">
        <v>26</v>
      </c>
      <c r="N16" s="16">
        <f>N7</f>
        <v>6</v>
      </c>
      <c r="O16" s="9" t="s">
        <v>27</v>
      </c>
      <c r="P16" s="19"/>
      <c r="Q16" s="9"/>
      <c r="R16" s="20">
        <f>N16*120</f>
        <v>720</v>
      </c>
      <c r="S16" s="9" t="s">
        <v>8</v>
      </c>
      <c r="T16" s="151"/>
      <c r="U16" s="152"/>
      <c r="V16" s="5"/>
      <c r="W16" s="39"/>
      <c r="X16" s="5"/>
      <c r="Y16" s="5"/>
      <c r="Z16" s="55" t="s">
        <v>15</v>
      </c>
      <c r="AA16" s="5"/>
      <c r="AB16" s="5"/>
      <c r="AC16" s="5"/>
      <c r="AD16" s="5"/>
      <c r="AE16" s="5"/>
      <c r="AF16" s="5"/>
      <c r="AJ16" s="27"/>
      <c r="AK16" s="12"/>
      <c r="AL16" s="4"/>
      <c r="AM16" s="3"/>
      <c r="AN16" s="3"/>
      <c r="AO16" s="3"/>
    </row>
    <row r="17" spans="1:44" s="7" customFormat="1" ht="24" customHeight="1" x14ac:dyDescent="0.3">
      <c r="A17" s="14">
        <v>11</v>
      </c>
      <c r="B17" s="125" t="s">
        <v>59</v>
      </c>
      <c r="C17" s="142"/>
      <c r="D17" s="16">
        <v>130</v>
      </c>
      <c r="E17" s="9" t="s">
        <v>10</v>
      </c>
      <c r="F17" s="16">
        <v>100</v>
      </c>
      <c r="G17" s="9" t="s">
        <v>10</v>
      </c>
      <c r="H17" s="16"/>
      <c r="I17" s="9" t="s">
        <v>10</v>
      </c>
      <c r="J17" s="19">
        <v>1.2</v>
      </c>
      <c r="K17" s="94" t="s">
        <v>25</v>
      </c>
      <c r="L17" s="18">
        <f>D17*F17*J17*7.85/10^6</f>
        <v>0.12246</v>
      </c>
      <c r="M17" s="9" t="s">
        <v>26</v>
      </c>
      <c r="N17" s="16">
        <f>N7*2</f>
        <v>12</v>
      </c>
      <c r="O17" s="9" t="s">
        <v>27</v>
      </c>
      <c r="P17" s="19"/>
      <c r="Q17" s="9"/>
      <c r="R17" s="20">
        <f>N17*270</f>
        <v>3240</v>
      </c>
      <c r="S17" s="9" t="s">
        <v>8</v>
      </c>
      <c r="T17" s="151"/>
      <c r="U17" s="152"/>
      <c r="V17" s="5"/>
      <c r="W17" s="39"/>
      <c r="X17" s="5"/>
      <c r="Y17" s="5"/>
      <c r="Z17" s="5"/>
      <c r="AA17" s="5"/>
      <c r="AB17" s="5"/>
      <c r="AC17" s="5"/>
      <c r="AD17" s="5"/>
      <c r="AE17" s="5"/>
      <c r="AF17" s="5"/>
      <c r="AG17" s="12"/>
      <c r="AJ17" s="27"/>
      <c r="AK17" s="12"/>
      <c r="AL17" s="25"/>
      <c r="AM17" s="3"/>
      <c r="AN17" s="3"/>
      <c r="AO17" s="3"/>
    </row>
    <row r="18" spans="1:44" s="7" customFormat="1" ht="24" customHeight="1" x14ac:dyDescent="0.3">
      <c r="A18" s="14">
        <v>12</v>
      </c>
      <c r="B18" s="125" t="s">
        <v>36</v>
      </c>
      <c r="C18" s="142"/>
      <c r="D18" s="154" t="s">
        <v>31</v>
      </c>
      <c r="E18" s="155"/>
      <c r="F18" s="155"/>
      <c r="G18" s="155"/>
      <c r="H18" s="155"/>
      <c r="I18" s="155"/>
      <c r="J18" s="155"/>
      <c r="K18" s="155"/>
      <c r="L18" s="155"/>
      <c r="M18" s="156"/>
      <c r="N18" s="16">
        <f>N9*2</f>
        <v>16</v>
      </c>
      <c r="O18" s="9" t="s">
        <v>27</v>
      </c>
      <c r="P18" s="19"/>
      <c r="Q18" s="9"/>
      <c r="R18" s="20">
        <f>N18*110</f>
        <v>1760</v>
      </c>
      <c r="S18" s="9" t="s">
        <v>8</v>
      </c>
      <c r="T18" s="151"/>
      <c r="U18" s="152"/>
      <c r="V18" s="5"/>
      <c r="W18" s="39"/>
      <c r="X18" s="5"/>
      <c r="Y18" s="5"/>
      <c r="Z18" s="5"/>
      <c r="AA18" s="5"/>
      <c r="AB18" s="5"/>
      <c r="AC18" s="5"/>
      <c r="AD18" s="5"/>
      <c r="AE18" s="5"/>
      <c r="AF18" s="5"/>
      <c r="AJ18" s="27"/>
      <c r="AK18" s="12"/>
      <c r="AL18" s="25"/>
      <c r="AM18" s="3"/>
      <c r="AN18" s="3"/>
      <c r="AO18" s="3"/>
      <c r="AP18" s="3"/>
    </row>
    <row r="19" spans="1:44" s="7" customFormat="1" ht="24" customHeight="1" x14ac:dyDescent="0.3">
      <c r="A19" s="14">
        <v>13</v>
      </c>
      <c r="B19" s="125" t="s">
        <v>60</v>
      </c>
      <c r="C19" s="142"/>
      <c r="D19" s="154" t="s">
        <v>61</v>
      </c>
      <c r="E19" s="155"/>
      <c r="F19" s="155"/>
      <c r="G19" s="155"/>
      <c r="H19" s="155"/>
      <c r="I19" s="155"/>
      <c r="J19" s="155"/>
      <c r="K19" s="155"/>
      <c r="L19" s="155"/>
      <c r="M19" s="156"/>
      <c r="N19" s="16">
        <f>N8*2</f>
        <v>12</v>
      </c>
      <c r="O19" s="9" t="s">
        <v>27</v>
      </c>
      <c r="P19" s="19"/>
      <c r="Q19" s="9"/>
      <c r="R19" s="20">
        <f>N19*110</f>
        <v>1320</v>
      </c>
      <c r="S19" s="9" t="s">
        <v>8</v>
      </c>
      <c r="T19" s="151"/>
      <c r="U19" s="152"/>
      <c r="V19" s="5"/>
      <c r="W19" s="39"/>
      <c r="X19" s="5"/>
      <c r="Y19" s="5"/>
      <c r="Z19" s="5"/>
      <c r="AA19" s="5"/>
      <c r="AB19" s="5"/>
      <c r="AC19" s="5"/>
      <c r="AD19" s="5"/>
      <c r="AE19" s="5"/>
      <c r="AF19" s="5"/>
      <c r="AJ19" s="47"/>
      <c r="AK19" s="12"/>
      <c r="AL19" s="25"/>
      <c r="AM19" s="3"/>
      <c r="AN19" s="3"/>
      <c r="AO19" s="3"/>
      <c r="AP19" s="3"/>
    </row>
    <row r="20" spans="1:44" s="7" customFormat="1" ht="24" customHeight="1" x14ac:dyDescent="0.3">
      <c r="A20" s="14">
        <v>14</v>
      </c>
      <c r="B20" s="125" t="s">
        <v>60</v>
      </c>
      <c r="C20" s="142"/>
      <c r="D20" s="154" t="s">
        <v>62</v>
      </c>
      <c r="E20" s="155"/>
      <c r="F20" s="155"/>
      <c r="G20" s="155"/>
      <c r="H20" s="155"/>
      <c r="I20" s="155"/>
      <c r="J20" s="155"/>
      <c r="K20" s="155"/>
      <c r="L20" s="155"/>
      <c r="M20" s="156"/>
      <c r="N20" s="16">
        <f>N7/2*(X6+3)</f>
        <v>21</v>
      </c>
      <c r="O20" s="9" t="s">
        <v>27</v>
      </c>
      <c r="P20" s="19"/>
      <c r="Q20" s="9"/>
      <c r="R20" s="20">
        <f>N20*130</f>
        <v>2730</v>
      </c>
      <c r="S20" s="9" t="s">
        <v>8</v>
      </c>
      <c r="T20" s="151"/>
      <c r="U20" s="152"/>
      <c r="V20" s="5"/>
      <c r="W20" s="21" t="s">
        <v>32</v>
      </c>
      <c r="X20" s="21" t="s">
        <v>33</v>
      </c>
      <c r="Y20" s="21" t="s">
        <v>34</v>
      </c>
      <c r="Z20" s="21" t="s">
        <v>35</v>
      </c>
      <c r="AA20" s="46"/>
      <c r="AB20" s="46"/>
      <c r="AC20" s="46"/>
      <c r="AD20" s="46"/>
      <c r="AE20" s="46"/>
      <c r="AF20" s="46"/>
      <c r="AH20" s="27"/>
      <c r="AI20" s="53"/>
      <c r="AJ20" s="48"/>
      <c r="AK20" s="12"/>
      <c r="AL20" s="57"/>
      <c r="AM20" s="57"/>
      <c r="AN20" s="57"/>
      <c r="AO20" s="57"/>
      <c r="AP20" s="3"/>
    </row>
    <row r="21" spans="1:44" s="7" customFormat="1" ht="24" customHeight="1" x14ac:dyDescent="0.3">
      <c r="A21" s="14">
        <v>15</v>
      </c>
      <c r="B21" s="125" t="s">
        <v>63</v>
      </c>
      <c r="C21" s="142"/>
      <c r="D21" s="154" t="s">
        <v>64</v>
      </c>
      <c r="E21" s="155"/>
      <c r="F21" s="155"/>
      <c r="G21" s="155"/>
      <c r="H21" s="155"/>
      <c r="I21" s="155"/>
      <c r="J21" s="155"/>
      <c r="K21" s="155"/>
      <c r="L21" s="155"/>
      <c r="M21" s="156"/>
      <c r="N21" s="16">
        <f>N8*1</f>
        <v>6</v>
      </c>
      <c r="O21" s="9" t="s">
        <v>27</v>
      </c>
      <c r="P21" s="19"/>
      <c r="Q21" s="9"/>
      <c r="R21" s="20">
        <f>N21*280</f>
        <v>1680</v>
      </c>
      <c r="S21" s="9" t="s">
        <v>8</v>
      </c>
      <c r="T21" s="151"/>
      <c r="U21" s="152"/>
      <c r="V21" s="5"/>
      <c r="W21" s="21" t="s">
        <v>5</v>
      </c>
      <c r="X21" s="21">
        <f>N4</f>
        <v>1</v>
      </c>
      <c r="Y21" s="21"/>
      <c r="Z21" s="21">
        <f>X21*Y21</f>
        <v>0</v>
      </c>
      <c r="AA21" s="46"/>
      <c r="AB21" s="46"/>
      <c r="AC21" s="46"/>
      <c r="AD21" s="46"/>
      <c r="AE21" s="46"/>
      <c r="AF21" s="46"/>
      <c r="AH21" s="56"/>
      <c r="AI21" s="28"/>
      <c r="AJ21" s="47"/>
      <c r="AK21" s="54"/>
      <c r="AL21" s="57"/>
      <c r="AM21" s="57"/>
      <c r="AN21" s="57"/>
      <c r="AO21" s="57"/>
      <c r="AP21" s="3"/>
      <c r="AQ21" s="3"/>
      <c r="AR21" s="3"/>
    </row>
    <row r="22" spans="1:44" s="7" customFormat="1" ht="24" customHeight="1" thickBot="1" x14ac:dyDescent="0.35">
      <c r="A22" s="14">
        <v>16</v>
      </c>
      <c r="B22" s="164" t="s">
        <v>37</v>
      </c>
      <c r="C22" s="165"/>
      <c r="D22" s="166" t="s">
        <v>31</v>
      </c>
      <c r="E22" s="167"/>
      <c r="F22" s="167"/>
      <c r="G22" s="167"/>
      <c r="H22" s="167"/>
      <c r="I22" s="167"/>
      <c r="J22" s="167"/>
      <c r="K22" s="167"/>
      <c r="L22" s="167"/>
      <c r="M22" s="168"/>
      <c r="N22" s="16"/>
      <c r="O22" s="9"/>
      <c r="P22" s="19">
        <f>SUM(P7:P21)*3%</f>
        <v>11.509514922595649</v>
      </c>
      <c r="Q22" s="9" t="s">
        <v>26</v>
      </c>
      <c r="R22" s="20">
        <f>P22*$AG$4</f>
        <v>11279.324624143735</v>
      </c>
      <c r="S22" s="9" t="s">
        <v>8</v>
      </c>
      <c r="T22" s="151"/>
      <c r="U22" s="152"/>
      <c r="V22" s="5"/>
      <c r="W22" s="21" t="s">
        <v>6</v>
      </c>
      <c r="X22" s="21">
        <f>P4</f>
        <v>1</v>
      </c>
      <c r="Y22" s="21"/>
      <c r="Z22" s="21">
        <f>X22*Y22</f>
        <v>0</v>
      </c>
      <c r="AA22" s="46"/>
      <c r="AB22" s="46"/>
      <c r="AC22" s="46"/>
      <c r="AD22" s="46"/>
      <c r="AE22" s="46"/>
      <c r="AF22" s="46"/>
      <c r="AH22" s="56"/>
      <c r="AI22" s="28"/>
      <c r="AJ22" s="47"/>
      <c r="AK22" s="12"/>
      <c r="AL22" s="57"/>
      <c r="AM22" s="57"/>
      <c r="AN22" s="57"/>
      <c r="AO22" s="57"/>
      <c r="AP22" s="3"/>
      <c r="AQ22" s="3"/>
      <c r="AR22" s="3"/>
    </row>
    <row r="23" spans="1:44" s="7" customFormat="1" ht="24" customHeight="1" thickTop="1" thickBot="1" x14ac:dyDescent="0.35">
      <c r="A23" s="171" t="s">
        <v>38</v>
      </c>
      <c r="B23" s="172"/>
      <c r="C23" s="172"/>
      <c r="D23" s="172"/>
      <c r="E23" s="172"/>
      <c r="F23" s="172"/>
      <c r="G23" s="172"/>
      <c r="H23" s="172"/>
      <c r="I23" s="172"/>
      <c r="J23" s="172"/>
      <c r="K23" s="172"/>
      <c r="L23" s="172"/>
      <c r="M23" s="173"/>
      <c r="N23" s="22">
        <f>SUM(N7:N22)</f>
        <v>183</v>
      </c>
      <c r="O23" s="23" t="s">
        <v>27</v>
      </c>
      <c r="P23" s="24">
        <f>SUM(P7:P22)</f>
        <v>395.16001234245061</v>
      </c>
      <c r="Q23" s="23" t="s">
        <v>26</v>
      </c>
      <c r="R23" s="49">
        <f>MROUND((SUM(R7:R22)+SUM(R7:R22)*T23%),10)</f>
        <v>680150</v>
      </c>
      <c r="S23" s="50" t="s">
        <v>8</v>
      </c>
      <c r="T23" s="51">
        <v>10</v>
      </c>
      <c r="U23" s="52" t="s">
        <v>65</v>
      </c>
      <c r="V23" s="5"/>
      <c r="W23" s="174" t="s">
        <v>39</v>
      </c>
      <c r="X23" s="175"/>
      <c r="Y23" s="176"/>
      <c r="Z23" s="21">
        <f>SUM(Z21:Z22)</f>
        <v>0</v>
      </c>
      <c r="AA23" s="46"/>
      <c r="AB23" s="46"/>
      <c r="AC23" s="46"/>
      <c r="AD23" s="46"/>
      <c r="AE23" s="46"/>
      <c r="AF23" s="46"/>
      <c r="AH23" s="27"/>
      <c r="AI23" s="53"/>
      <c r="AJ23" s="47"/>
      <c r="AK23" s="12"/>
      <c r="AL23" s="57"/>
      <c r="AM23" s="57"/>
      <c r="AN23" s="57"/>
      <c r="AO23" s="57"/>
      <c r="AP23" s="4"/>
      <c r="AQ23" s="3"/>
      <c r="AR23" s="3"/>
    </row>
    <row r="24" spans="1:44" s="7" customFormat="1" ht="24" customHeight="1" x14ac:dyDescent="0.3">
      <c r="A24" s="2"/>
      <c r="B24" s="2"/>
      <c r="C24" s="2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27"/>
      <c r="AI24" s="53"/>
      <c r="AJ24" s="47"/>
      <c r="AK24" s="12"/>
      <c r="AL24" s="57"/>
      <c r="AM24" s="57"/>
      <c r="AN24" s="57"/>
      <c r="AO24" s="57"/>
      <c r="AP24" s="3"/>
      <c r="AQ24" s="3"/>
      <c r="AR24" s="3"/>
    </row>
    <row r="25" spans="1:44" ht="24" customHeight="1" x14ac:dyDescent="0.3">
      <c r="AK25" s="7"/>
      <c r="AL25" s="57"/>
      <c r="AM25" s="57"/>
      <c r="AN25" s="57"/>
      <c r="AO25" s="57"/>
    </row>
    <row r="26" spans="1:44" ht="24" customHeight="1" x14ac:dyDescent="0.3">
      <c r="AK26" s="12"/>
      <c r="AL26" s="13"/>
      <c r="AM26" s="13"/>
      <c r="AN26" s="4"/>
      <c r="AO26" s="4"/>
      <c r="AQ26" s="4"/>
      <c r="AR26" s="4"/>
    </row>
    <row r="27" spans="1:44" ht="24" customHeight="1" x14ac:dyDescent="0.3">
      <c r="AG27" s="54"/>
      <c r="AK27" s="54"/>
      <c r="AL27" s="7"/>
      <c r="AM27" s="7"/>
      <c r="AN27" s="7"/>
      <c r="AO27" s="7"/>
    </row>
    <row r="28" spans="1:44" ht="24" customHeight="1" x14ac:dyDescent="0.3">
      <c r="AG28" s="54"/>
      <c r="AK28" s="12"/>
      <c r="AL28" s="7"/>
      <c r="AM28" s="7"/>
      <c r="AN28" s="7"/>
      <c r="AO28" s="7"/>
    </row>
    <row r="29" spans="1:44" ht="24" customHeight="1" x14ac:dyDescent="0.3">
      <c r="AK29" s="12"/>
      <c r="AL29" s="7"/>
      <c r="AM29" s="7"/>
      <c r="AN29" s="7"/>
      <c r="AO29" s="7"/>
    </row>
    <row r="30" spans="1:44" s="4" customFormat="1" ht="24" customHeight="1" x14ac:dyDescent="0.3">
      <c r="A30" s="2"/>
      <c r="B30" s="2"/>
      <c r="C30" s="2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27"/>
      <c r="AH30" s="27"/>
      <c r="AI30" s="53"/>
      <c r="AJ30" s="47"/>
      <c r="AK30" s="12"/>
      <c r="AL30" s="25"/>
      <c r="AM30" s="3"/>
      <c r="AN30" s="3"/>
      <c r="AO30" s="3"/>
      <c r="AP30" s="3"/>
      <c r="AQ30" s="6"/>
      <c r="AR30" s="6"/>
    </row>
    <row r="31" spans="1:44" ht="24" customHeight="1" x14ac:dyDescent="0.3">
      <c r="AG31" s="27"/>
      <c r="AQ31" s="6"/>
      <c r="AR31" s="6"/>
    </row>
    <row r="32" spans="1:44" ht="24" customHeight="1" x14ac:dyDescent="0.3">
      <c r="AG32" s="27"/>
      <c r="AQ32" s="6"/>
      <c r="AR32" s="6"/>
    </row>
    <row r="33" spans="1:44" ht="24" customHeight="1" x14ac:dyDescent="0.3">
      <c r="AG33" s="27"/>
      <c r="AQ33" s="6"/>
      <c r="AR33" s="6"/>
    </row>
    <row r="34" spans="1:44" s="6" customFormat="1" ht="24" customHeight="1" x14ac:dyDescent="0.3">
      <c r="A34" s="2"/>
      <c r="B34" s="2"/>
      <c r="C34" s="2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27"/>
      <c r="AH34" s="27"/>
      <c r="AI34" s="53"/>
      <c r="AJ34" s="47"/>
      <c r="AK34" s="47"/>
      <c r="AL34" s="25"/>
      <c r="AM34" s="3"/>
      <c r="AN34" s="3"/>
      <c r="AO34" s="3"/>
      <c r="AP34" s="3"/>
    </row>
    <row r="35" spans="1:44" s="6" customFormat="1" ht="24" customHeight="1" x14ac:dyDescent="0.3">
      <c r="A35" s="2"/>
      <c r="B35" s="2"/>
      <c r="C35" s="2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27"/>
      <c r="AH35" s="27"/>
      <c r="AI35" s="53"/>
      <c r="AJ35" s="47"/>
      <c r="AK35" s="47"/>
      <c r="AL35" s="25"/>
      <c r="AM35" s="3"/>
      <c r="AN35" s="3"/>
      <c r="AO35" s="3"/>
      <c r="AP35" s="3"/>
    </row>
    <row r="36" spans="1:44" s="6" customFormat="1" ht="24" customHeight="1" x14ac:dyDescent="0.3">
      <c r="A36" s="2"/>
      <c r="B36" s="2"/>
      <c r="C36" s="2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27"/>
      <c r="AI36" s="53"/>
      <c r="AJ36" s="47"/>
      <c r="AK36" s="47"/>
      <c r="AL36" s="25"/>
      <c r="AM36" s="3"/>
      <c r="AN36" s="3"/>
      <c r="AO36" s="3"/>
      <c r="AP36" s="3"/>
      <c r="AQ36" s="3"/>
      <c r="AR36" s="3"/>
    </row>
    <row r="37" spans="1:44" s="6" customFormat="1" ht="24" customHeight="1" x14ac:dyDescent="0.3">
      <c r="A37" s="2"/>
      <c r="B37" s="2"/>
      <c r="C37" s="2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27"/>
      <c r="AI37" s="53"/>
      <c r="AJ37" s="47"/>
      <c r="AK37" s="47"/>
      <c r="AL37" s="25"/>
      <c r="AM37" s="3"/>
      <c r="AN37" s="3"/>
      <c r="AO37" s="3"/>
      <c r="AP37" s="3"/>
      <c r="AQ37" s="3"/>
      <c r="AR37" s="3"/>
    </row>
    <row r="38" spans="1:44" s="6" customFormat="1" ht="24" customHeight="1" x14ac:dyDescent="0.3">
      <c r="A38" s="2"/>
      <c r="B38" s="2"/>
      <c r="C38" s="2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27"/>
      <c r="AI38" s="53"/>
      <c r="AJ38" s="47"/>
      <c r="AK38" s="47"/>
      <c r="AL38" s="25"/>
      <c r="AM38" s="3"/>
      <c r="AN38" s="3"/>
      <c r="AO38" s="3"/>
      <c r="AP38" s="3"/>
      <c r="AQ38" s="3"/>
      <c r="AR38" s="3"/>
    </row>
    <row r="39" spans="1:44" s="6" customFormat="1" ht="24" customHeight="1" x14ac:dyDescent="0.3">
      <c r="A39" s="2"/>
      <c r="B39" s="2"/>
      <c r="C39" s="2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27"/>
      <c r="AI39" s="53"/>
      <c r="AJ39" s="47"/>
      <c r="AK39" s="47"/>
      <c r="AL39" s="25"/>
      <c r="AM39" s="3"/>
      <c r="AN39" s="3"/>
      <c r="AO39" s="3"/>
      <c r="AP39" s="3"/>
      <c r="AQ39" s="3"/>
      <c r="AR39" s="3"/>
    </row>
  </sheetData>
  <mergeCells count="61">
    <mergeCell ref="B22:C22"/>
    <mergeCell ref="D22:M22"/>
    <mergeCell ref="T22:U22"/>
    <mergeCell ref="A23:M23"/>
    <mergeCell ref="W23:Y23"/>
    <mergeCell ref="B20:C20"/>
    <mergeCell ref="D20:M20"/>
    <mergeCell ref="T20:U20"/>
    <mergeCell ref="B21:C21"/>
    <mergeCell ref="D21:M21"/>
    <mergeCell ref="T21:U21"/>
    <mergeCell ref="B18:C18"/>
    <mergeCell ref="D18:M18"/>
    <mergeCell ref="T18:U18"/>
    <mergeCell ref="B19:C19"/>
    <mergeCell ref="D19:M19"/>
    <mergeCell ref="T19:U19"/>
    <mergeCell ref="R3:S3"/>
    <mergeCell ref="B17:C17"/>
    <mergeCell ref="T17:U17"/>
    <mergeCell ref="B11:C11"/>
    <mergeCell ref="T11:U11"/>
    <mergeCell ref="B12:C12"/>
    <mergeCell ref="T12:U12"/>
    <mergeCell ref="B13:C13"/>
    <mergeCell ref="T13:U13"/>
    <mergeCell ref="T14:U14"/>
    <mergeCell ref="T15:U15"/>
    <mergeCell ref="B16:C16"/>
    <mergeCell ref="D16:I16"/>
    <mergeCell ref="T16:U16"/>
    <mergeCell ref="B10:C10"/>
    <mergeCell ref="T10:U10"/>
    <mergeCell ref="P5:Q6"/>
    <mergeCell ref="R5:S6"/>
    <mergeCell ref="T5:U6"/>
    <mergeCell ref="D6:E6"/>
    <mergeCell ref="F6:G6"/>
    <mergeCell ref="H6:I6"/>
    <mergeCell ref="N5:O6"/>
    <mergeCell ref="T7:U7"/>
    <mergeCell ref="B8:C8"/>
    <mergeCell ref="T8:U8"/>
    <mergeCell ref="B9:C9"/>
    <mergeCell ref="T9:U9"/>
    <mergeCell ref="T3:U3"/>
    <mergeCell ref="A5:A6"/>
    <mergeCell ref="B5:C6"/>
    <mergeCell ref="D5:I5"/>
    <mergeCell ref="J5:K6"/>
    <mergeCell ref="L5:M6"/>
    <mergeCell ref="A4:C4"/>
    <mergeCell ref="T4:U4"/>
    <mergeCell ref="A3:C3"/>
    <mergeCell ref="D3:E3"/>
    <mergeCell ref="F3:G3"/>
    <mergeCell ref="H3:I3"/>
    <mergeCell ref="J3:K3"/>
    <mergeCell ref="L3:M3"/>
    <mergeCell ref="N3:O3"/>
    <mergeCell ref="P3:Q3"/>
  </mergeCells>
  <phoneticPr fontId="3" type="noConversion"/>
  <dataValidations count="4">
    <dataValidation type="list" allowBlank="1" showInputMessage="1" showErrorMessage="1" sqref="J9" xr:uid="{C14235D8-C021-4368-8117-4724742C3334}">
      <formula1>"1.4,1.6,2.0"</formula1>
    </dataValidation>
    <dataValidation type="list" allowBlank="1" showInputMessage="1" showErrorMessage="1" sqref="R4" xr:uid="{7C389150-4AB9-4ACF-93B8-8DC64816FE87}">
      <formula1>"75,100,125,150"</formula1>
    </dataValidation>
    <dataValidation type="list" allowBlank="1" showInputMessage="1" showErrorMessage="1" sqref="B14" xr:uid="{77E1CDE8-D6DF-40A4-AEA1-2D6C14C4441C}">
      <formula1>"HR,아연도"</formula1>
    </dataValidation>
    <dataValidation type="list" allowBlank="1" showInputMessage="1" showErrorMessage="1" sqref="B7" xr:uid="{323F4312-F261-43FF-931C-1E83A829F72F}">
      <formula1>"85바,95바"</formula1>
    </dataValidation>
  </dataValidations>
  <printOptions horizontalCentered="1" verticalCentered="1"/>
  <pageMargins left="0.19685039370078741" right="0.19685039370078741" top="0.55118110236220474" bottom="0.35433070866141736" header="0.11811023622047245" footer="0.11811023622047245"/>
  <pageSetup paperSize="9" scale="92" orientation="landscape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AF14F-8BFE-44EA-88DC-13D39704FFDD}">
  <sheetPr>
    <pageSetUpPr fitToPage="1"/>
  </sheetPr>
  <dimension ref="A1:AR39"/>
  <sheetViews>
    <sheetView view="pageBreakPreview" zoomScale="85" zoomScaleNormal="85" zoomScaleSheetLayoutView="85" workbookViewId="0">
      <selection activeCell="W19" sqref="W19"/>
    </sheetView>
  </sheetViews>
  <sheetFormatPr defaultColWidth="9" defaultRowHeight="24.75" customHeight="1" x14ac:dyDescent="0.3"/>
  <cols>
    <col min="1" max="1" width="6.375" style="2" customWidth="1"/>
    <col min="2" max="2" width="7.75" style="2" customWidth="1"/>
    <col min="3" max="3" width="11.75" style="2" customWidth="1"/>
    <col min="4" max="4" width="6.75" style="3" customWidth="1"/>
    <col min="5" max="5" width="4.375" style="3" customWidth="1"/>
    <col min="6" max="6" width="6.75" style="3" customWidth="1"/>
    <col min="7" max="7" width="4.375" style="3" customWidth="1"/>
    <col min="8" max="8" width="6.75" style="3" customWidth="1"/>
    <col min="9" max="9" width="4.375" style="3" customWidth="1"/>
    <col min="10" max="10" width="7.875" style="3" customWidth="1"/>
    <col min="11" max="11" width="4.375" style="3" customWidth="1"/>
    <col min="12" max="12" width="7.875" style="3" customWidth="1"/>
    <col min="13" max="13" width="4.375" style="3" customWidth="1"/>
    <col min="14" max="14" width="8.125" style="3" customWidth="1"/>
    <col min="15" max="15" width="4.375" style="3" customWidth="1"/>
    <col min="16" max="16" width="9.5" style="3" customWidth="1"/>
    <col min="17" max="17" width="4.375" style="3" customWidth="1"/>
    <col min="18" max="18" width="12.5" style="3" customWidth="1"/>
    <col min="19" max="19" width="4.875" style="3" customWidth="1"/>
    <col min="20" max="20" width="11.375" style="3" customWidth="1"/>
    <col min="21" max="21" width="5.5" style="3" customWidth="1"/>
    <col min="22" max="22" width="13" style="5" customWidth="1"/>
    <col min="23" max="23" width="15" style="5" customWidth="1"/>
    <col min="24" max="32" width="13" style="5" customWidth="1"/>
    <col min="33" max="33" width="12.875" style="5" hidden="1" customWidth="1"/>
    <col min="34" max="34" width="9.75" style="27" hidden="1" customWidth="1"/>
    <col min="35" max="35" width="9.75" style="53" hidden="1" customWidth="1"/>
    <col min="36" max="36" width="9" style="47" hidden="1" customWidth="1"/>
    <col min="37" max="37" width="9" style="47" customWidth="1"/>
    <col min="38" max="38" width="9" style="25"/>
    <col min="39" max="16384" width="9" style="3"/>
  </cols>
  <sheetData>
    <row r="1" spans="1:42" s="5" customFormat="1" ht="24.75" customHeight="1" x14ac:dyDescent="0.3">
      <c r="A1" s="1" t="s">
        <v>150</v>
      </c>
      <c r="B1" s="1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26"/>
      <c r="T1" s="3"/>
      <c r="U1" s="3"/>
      <c r="AH1" s="27"/>
      <c r="AI1" s="28"/>
      <c r="AJ1" s="27"/>
      <c r="AK1" s="27"/>
      <c r="AL1" s="4"/>
    </row>
    <row r="2" spans="1:42" s="5" customFormat="1" ht="24.75" customHeight="1" thickBot="1" x14ac:dyDescent="0.35">
      <c r="A2" s="1"/>
      <c r="B2" s="1"/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26"/>
      <c r="T2" s="3"/>
      <c r="U2" s="3"/>
      <c r="Z2" s="39" t="s">
        <v>110</v>
      </c>
      <c r="AH2" s="27"/>
      <c r="AI2" s="28"/>
      <c r="AJ2" s="27"/>
      <c r="AK2" s="27"/>
      <c r="AL2" s="4"/>
    </row>
    <row r="3" spans="1:42" s="7" customFormat="1" ht="24.75" customHeight="1" x14ac:dyDescent="0.3">
      <c r="A3" s="133" t="s">
        <v>0</v>
      </c>
      <c r="B3" s="134"/>
      <c r="C3" s="135"/>
      <c r="D3" s="136" t="s">
        <v>1</v>
      </c>
      <c r="E3" s="135"/>
      <c r="F3" s="137" t="s">
        <v>2</v>
      </c>
      <c r="G3" s="135"/>
      <c r="H3" s="137" t="s">
        <v>3</v>
      </c>
      <c r="I3" s="135"/>
      <c r="J3" s="138" t="s">
        <v>104</v>
      </c>
      <c r="K3" s="139"/>
      <c r="L3" s="140" t="s">
        <v>116</v>
      </c>
      <c r="M3" s="139"/>
      <c r="N3" s="140" t="s">
        <v>5</v>
      </c>
      <c r="O3" s="141"/>
      <c r="P3" s="140" t="s">
        <v>6</v>
      </c>
      <c r="Q3" s="141"/>
      <c r="R3" s="117" t="s">
        <v>40</v>
      </c>
      <c r="S3" s="153"/>
      <c r="T3" s="117" t="s">
        <v>7</v>
      </c>
      <c r="U3" s="118"/>
      <c r="V3" s="5"/>
      <c r="W3" s="29" t="s">
        <v>41</v>
      </c>
      <c r="X3" s="30"/>
      <c r="Y3" s="28"/>
      <c r="Z3" s="39" t="s">
        <v>106</v>
      </c>
      <c r="AA3" s="27"/>
      <c r="AB3" s="27"/>
      <c r="AC3" s="27"/>
      <c r="AD3" s="27"/>
      <c r="AE3" s="27"/>
      <c r="AF3" s="27"/>
      <c r="AG3" s="27"/>
    </row>
    <row r="4" spans="1:42" s="7" customFormat="1" ht="24.75" customHeight="1" x14ac:dyDescent="0.3">
      <c r="A4" s="129" t="s">
        <v>42</v>
      </c>
      <c r="B4" s="130"/>
      <c r="C4" s="127"/>
      <c r="D4" s="8">
        <v>2585</v>
      </c>
      <c r="E4" s="9" t="s">
        <v>10</v>
      </c>
      <c r="F4" s="8">
        <v>1000</v>
      </c>
      <c r="G4" s="9" t="s">
        <v>10</v>
      </c>
      <c r="H4" s="8">
        <v>3500</v>
      </c>
      <c r="I4" s="9" t="s">
        <v>10</v>
      </c>
      <c r="J4" s="10">
        <v>2</v>
      </c>
      <c r="K4" s="11" t="s">
        <v>43</v>
      </c>
      <c r="L4" s="10">
        <v>4</v>
      </c>
      <c r="M4" s="11" t="s">
        <v>44</v>
      </c>
      <c r="N4" s="10">
        <v>1</v>
      </c>
      <c r="O4" s="9" t="s">
        <v>13</v>
      </c>
      <c r="P4" s="10">
        <v>1</v>
      </c>
      <c r="Q4" s="9" t="s">
        <v>13</v>
      </c>
      <c r="R4" s="32">
        <v>125</v>
      </c>
      <c r="S4" s="33" t="s">
        <v>45</v>
      </c>
      <c r="T4" s="131" t="s">
        <v>94</v>
      </c>
      <c r="U4" s="132"/>
      <c r="V4" s="12"/>
      <c r="W4" s="34" t="s">
        <v>46</v>
      </c>
      <c r="X4" s="35">
        <f>F4-118</f>
        <v>882</v>
      </c>
      <c r="Y4" s="36" t="s">
        <v>10</v>
      </c>
      <c r="Z4" s="39" t="s">
        <v>107</v>
      </c>
      <c r="AA4" s="27"/>
      <c r="AB4" s="27"/>
      <c r="AC4" s="27"/>
      <c r="AD4" s="27"/>
      <c r="AE4" s="27"/>
      <c r="AF4" s="27"/>
      <c r="AG4" s="34">
        <v>980</v>
      </c>
      <c r="AH4" s="27"/>
      <c r="AI4" s="12"/>
    </row>
    <row r="5" spans="1:42" s="7" customFormat="1" ht="24.75" customHeight="1" x14ac:dyDescent="0.3">
      <c r="A5" s="119" t="s">
        <v>16</v>
      </c>
      <c r="B5" s="121" t="s">
        <v>17</v>
      </c>
      <c r="C5" s="122"/>
      <c r="D5" s="125" t="s">
        <v>18</v>
      </c>
      <c r="E5" s="126"/>
      <c r="F5" s="126"/>
      <c r="G5" s="126"/>
      <c r="H5" s="126"/>
      <c r="I5" s="127"/>
      <c r="J5" s="121" t="s">
        <v>19</v>
      </c>
      <c r="K5" s="122"/>
      <c r="L5" s="128" t="s">
        <v>20</v>
      </c>
      <c r="M5" s="122"/>
      <c r="N5" s="121" t="s">
        <v>21</v>
      </c>
      <c r="O5" s="145"/>
      <c r="P5" s="128" t="s">
        <v>22</v>
      </c>
      <c r="Q5" s="122"/>
      <c r="R5" s="128" t="s">
        <v>23</v>
      </c>
      <c r="S5" s="145"/>
      <c r="T5" s="128" t="s">
        <v>47</v>
      </c>
      <c r="U5" s="148"/>
      <c r="V5" s="12"/>
      <c r="W5" s="34" t="s">
        <v>48</v>
      </c>
      <c r="X5" s="37">
        <v>750</v>
      </c>
      <c r="Y5" s="36" t="s">
        <v>49</v>
      </c>
      <c r="Z5" s="39" t="s">
        <v>113</v>
      </c>
      <c r="AA5" s="27"/>
      <c r="AB5" s="27"/>
      <c r="AC5" s="27"/>
      <c r="AD5" s="27"/>
      <c r="AE5" s="27"/>
      <c r="AF5" s="27"/>
      <c r="AG5" s="41">
        <v>100</v>
      </c>
      <c r="AH5" s="41">
        <v>211</v>
      </c>
      <c r="AI5" s="41">
        <v>186</v>
      </c>
      <c r="AJ5" s="40">
        <v>1400</v>
      </c>
      <c r="AK5" s="12"/>
    </row>
    <row r="6" spans="1:42" s="7" customFormat="1" ht="24.75" customHeight="1" x14ac:dyDescent="0.3">
      <c r="A6" s="120"/>
      <c r="B6" s="123"/>
      <c r="C6" s="124"/>
      <c r="D6" s="150" t="s">
        <v>1</v>
      </c>
      <c r="E6" s="127"/>
      <c r="F6" s="125" t="s">
        <v>2</v>
      </c>
      <c r="G6" s="127"/>
      <c r="H6" s="125" t="s">
        <v>3</v>
      </c>
      <c r="I6" s="127"/>
      <c r="J6" s="123"/>
      <c r="K6" s="124"/>
      <c r="L6" s="123"/>
      <c r="M6" s="124"/>
      <c r="N6" s="146"/>
      <c r="O6" s="147"/>
      <c r="P6" s="123"/>
      <c r="Q6" s="124"/>
      <c r="R6" s="146"/>
      <c r="S6" s="147"/>
      <c r="T6" s="146"/>
      <c r="U6" s="149"/>
      <c r="V6" s="12"/>
      <c r="W6" s="34" t="s">
        <v>50</v>
      </c>
      <c r="X6" s="35">
        <f>ROUNDDOWN((H4-X9)/X5,0)</f>
        <v>4</v>
      </c>
      <c r="Y6" s="36" t="s">
        <v>27</v>
      </c>
      <c r="Z6" s="39" t="s">
        <v>119</v>
      </c>
      <c r="AA6" s="27"/>
      <c r="AB6" s="27"/>
      <c r="AC6" s="27"/>
      <c r="AD6" s="27"/>
      <c r="AE6" s="27"/>
      <c r="AF6" s="27"/>
      <c r="AG6" s="41">
        <v>125</v>
      </c>
      <c r="AH6" s="41">
        <v>236</v>
      </c>
      <c r="AI6" s="41">
        <v>211</v>
      </c>
      <c r="AJ6" s="40">
        <v>1500</v>
      </c>
      <c r="AK6" s="39"/>
    </row>
    <row r="7" spans="1:42" s="7" customFormat="1" ht="24.75" customHeight="1" x14ac:dyDescent="0.3">
      <c r="A7" s="14">
        <v>1</v>
      </c>
      <c r="B7" s="96" t="s">
        <v>96</v>
      </c>
      <c r="C7" s="95" t="s">
        <v>24</v>
      </c>
      <c r="D7" s="16"/>
      <c r="E7" s="9" t="s">
        <v>10</v>
      </c>
      <c r="F7" s="16"/>
      <c r="G7" s="9" t="s">
        <v>10</v>
      </c>
      <c r="H7" s="16">
        <f>H4</f>
        <v>3500</v>
      </c>
      <c r="I7" s="9" t="s">
        <v>10</v>
      </c>
      <c r="J7" s="110">
        <v>1.8</v>
      </c>
      <c r="K7" s="94" t="s">
        <v>25</v>
      </c>
      <c r="L7" s="104">
        <f>IF(B7="85바",243*H7*J7*7.85/10^6,IF(B7="95바",265*H7*J7*7.85/10^6))</f>
        <v>12.017564999999999</v>
      </c>
      <c r="M7" s="9" t="s">
        <v>26</v>
      </c>
      <c r="N7" s="16">
        <f>N4*4+P4*2</f>
        <v>6</v>
      </c>
      <c r="O7" s="9" t="s">
        <v>27</v>
      </c>
      <c r="P7" s="19">
        <f t="shared" ref="P7:P14" si="0">L7*N7</f>
        <v>72.10539</v>
      </c>
      <c r="Q7" s="9" t="s">
        <v>26</v>
      </c>
      <c r="R7" s="20">
        <f>P7*IF(AND(1.6&lt;J7,J7&lt;2),$AG$4+10,IF(AND(1.4&lt;J7,J7&lt;=1.6),$AG$4+20,IF(J7&lt;=1.4,$AG$4+40,$AG$4)))+IF(B7="85바",150*((243*H7*(IF(J7&lt;=1.8,1.8,J7))*7.85/10^6)*N7),IF(B7="95바",150*((265*H7*(IF(J7&lt;=1.8,1.8,J7))*7.85/10^6)*N7)))+H7/1000*N7*IF(B7="85바",IF(H7&lt;8800,1100,1300),IF(B7="95바",IF(H7&lt;8800,1200,1800)))</f>
        <v>105300.1446</v>
      </c>
      <c r="S7" s="9" t="s">
        <v>8</v>
      </c>
      <c r="T7" s="151"/>
      <c r="U7" s="152"/>
      <c r="V7" s="12"/>
      <c r="W7" s="34" t="s">
        <v>51</v>
      </c>
      <c r="X7" s="35">
        <f>H4-SUM(X8:X9)</f>
        <v>100</v>
      </c>
      <c r="Y7" s="36" t="s">
        <v>10</v>
      </c>
      <c r="Z7" s="39" t="s">
        <v>118</v>
      </c>
      <c r="AA7" s="27"/>
      <c r="AB7" s="27"/>
      <c r="AC7" s="27"/>
      <c r="AD7" s="27"/>
      <c r="AE7" s="27"/>
      <c r="AF7" s="27"/>
      <c r="AG7" s="41">
        <v>150</v>
      </c>
      <c r="AH7" s="41">
        <v>261</v>
      </c>
      <c r="AI7" s="41">
        <v>236</v>
      </c>
      <c r="AJ7" s="40">
        <v>1700</v>
      </c>
      <c r="AK7" s="39"/>
    </row>
    <row r="8" spans="1:42" s="7" customFormat="1" ht="24.75" customHeight="1" x14ac:dyDescent="0.3">
      <c r="A8" s="14">
        <v>2</v>
      </c>
      <c r="B8" s="125" t="s">
        <v>52</v>
      </c>
      <c r="C8" s="142"/>
      <c r="D8" s="16">
        <v>173</v>
      </c>
      <c r="E8" s="9" t="s">
        <v>10</v>
      </c>
      <c r="F8" s="16">
        <v>101</v>
      </c>
      <c r="G8" s="9" t="s">
        <v>10</v>
      </c>
      <c r="H8" s="16"/>
      <c r="I8" s="9" t="s">
        <v>10</v>
      </c>
      <c r="J8" s="42">
        <v>4</v>
      </c>
      <c r="K8" s="94" t="s">
        <v>25</v>
      </c>
      <c r="L8" s="18">
        <f>D8*F8*J8*7.85/10^6</f>
        <v>0.54865219999999992</v>
      </c>
      <c r="M8" s="9" t="s">
        <v>26</v>
      </c>
      <c r="N8" s="16">
        <f>N7</f>
        <v>6</v>
      </c>
      <c r="O8" s="9" t="s">
        <v>27</v>
      </c>
      <c r="P8" s="19">
        <f t="shared" si="0"/>
        <v>3.2919131999999998</v>
      </c>
      <c r="Q8" s="9" t="s">
        <v>26</v>
      </c>
      <c r="R8" s="20">
        <f>P8*1100+N8*300</f>
        <v>5421.1045199999999</v>
      </c>
      <c r="S8" s="9" t="s">
        <v>8</v>
      </c>
      <c r="T8" s="151"/>
      <c r="U8" s="152"/>
      <c r="V8" s="12"/>
      <c r="W8" s="34" t="s">
        <v>53</v>
      </c>
      <c r="X8" s="35">
        <f>X5*X6</f>
        <v>3000</v>
      </c>
      <c r="Y8" s="36" t="s">
        <v>10</v>
      </c>
      <c r="Z8" s="39" t="s">
        <v>117</v>
      </c>
      <c r="AA8" s="27"/>
      <c r="AB8" s="27"/>
      <c r="AC8" s="27"/>
      <c r="AD8" s="27"/>
      <c r="AE8" s="27"/>
      <c r="AF8" s="27"/>
      <c r="AG8" s="30"/>
      <c r="AH8" s="45"/>
      <c r="AI8" s="28"/>
      <c r="AJ8" s="27"/>
      <c r="AK8" s="39"/>
    </row>
    <row r="9" spans="1:42" s="7" customFormat="1" ht="24.75" customHeight="1" x14ac:dyDescent="0.3">
      <c r="A9" s="14">
        <v>3</v>
      </c>
      <c r="B9" s="125" t="s">
        <v>95</v>
      </c>
      <c r="C9" s="142"/>
      <c r="D9" s="16">
        <f>IF($B$7="85바",($D$4-95),IF($B$7="95바",($D$4-105)))</f>
        <v>2490</v>
      </c>
      <c r="E9" s="9" t="s">
        <v>10</v>
      </c>
      <c r="F9" s="16"/>
      <c r="G9" s="9" t="s">
        <v>10</v>
      </c>
      <c r="H9" s="16"/>
      <c r="I9" s="9" t="s">
        <v>10</v>
      </c>
      <c r="J9" s="17">
        <v>1.6</v>
      </c>
      <c r="K9" s="94" t="s">
        <v>25</v>
      </c>
      <c r="L9" s="43">
        <f>D9*((VLOOKUP($R$4,$AG$5:$AJ$7,2,0))+(VLOOKUP($R$4,$AG$5:$AJ$7,3,0)))*J9*7.85/10^6</f>
        <v>13.979656799999999</v>
      </c>
      <c r="M9" s="9" t="s">
        <v>26</v>
      </c>
      <c r="N9" s="16">
        <f>(N4+P4)*J4*2</f>
        <v>8</v>
      </c>
      <c r="O9" s="9" t="s">
        <v>27</v>
      </c>
      <c r="P9" s="19">
        <f>L9*N9</f>
        <v>111.83725439999999</v>
      </c>
      <c r="Q9" s="9" t="s">
        <v>26</v>
      </c>
      <c r="R9" s="20">
        <f>P9*IF(AND(1.6&lt;J9,J9&lt;2),$AG$4+10,IF(AND(1.4&lt;J9,J9&lt;=1.6),$AG$4+20,IF(J9&lt;=1.4,$AG$4+40,$AG$4)))+(IF(J9&lt;=1.6,(D9*((VLOOKUP($R$4,$AG$5:$AJ$7,2,0))+(VLOOKUP($R$4,$AG$5:$AJ$7,3,0)))*1.6*7.85/10^6)*N9,(D9*((VLOOKUP($R$4,$AG$5:$AJ$7,2,0))+(VLOOKUP($R$4,$AG$5:$AJ$7,3,0)))*J9*7.85/10^6)*N9)*(240+40)+N9*IF(D9&lt;2990,(VLOOKUP($R$4,$AG$5:$AJ$7,4,0)),((VLOOKUP($R$4,$AG$5:$AJ$7,4,0))+500)))+(D9+100)*N9*1100/1000</f>
        <v>177943.68563199998</v>
      </c>
      <c r="S9" s="9" t="s">
        <v>8</v>
      </c>
      <c r="T9" s="151"/>
      <c r="U9" s="152"/>
      <c r="V9" s="12"/>
      <c r="W9" s="34" t="s">
        <v>55</v>
      </c>
      <c r="X9" s="37">
        <v>400</v>
      </c>
      <c r="Y9" s="36" t="s">
        <v>10</v>
      </c>
      <c r="Z9" s="39" t="s">
        <v>147</v>
      </c>
      <c r="AA9" s="27"/>
      <c r="AB9" s="27"/>
      <c r="AC9" s="27"/>
      <c r="AD9" s="27"/>
      <c r="AE9" s="27"/>
      <c r="AF9" s="27"/>
    </row>
    <row r="10" spans="1:42" s="7" customFormat="1" ht="24.75" customHeight="1" x14ac:dyDescent="0.3">
      <c r="A10" s="14">
        <v>4</v>
      </c>
      <c r="B10" s="125" t="s">
        <v>56</v>
      </c>
      <c r="C10" s="142"/>
      <c r="D10" s="16">
        <v>101</v>
      </c>
      <c r="E10" s="9" t="s">
        <v>10</v>
      </c>
      <c r="F10" s="16">
        <v>200</v>
      </c>
      <c r="G10" s="9" t="s">
        <v>10</v>
      </c>
      <c r="H10" s="16"/>
      <c r="I10" s="9" t="s">
        <v>10</v>
      </c>
      <c r="J10" s="42">
        <v>4</v>
      </c>
      <c r="K10" s="94" t="s">
        <v>25</v>
      </c>
      <c r="L10" s="18">
        <f>D10*F10*J10*7.85/10^6</f>
        <v>0.63427999999999995</v>
      </c>
      <c r="M10" s="9" t="s">
        <v>26</v>
      </c>
      <c r="N10" s="16">
        <f>N9*2</f>
        <v>16</v>
      </c>
      <c r="O10" s="9" t="s">
        <v>27</v>
      </c>
      <c r="P10" s="19">
        <f>L10*N10</f>
        <v>10.148479999999999</v>
      </c>
      <c r="Q10" s="9" t="s">
        <v>26</v>
      </c>
      <c r="R10" s="20">
        <f>P10*1020+N10*350</f>
        <v>15951.4496</v>
      </c>
      <c r="S10" s="9" t="s">
        <v>8</v>
      </c>
      <c r="T10" s="143"/>
      <c r="U10" s="144"/>
      <c r="V10" s="12"/>
      <c r="W10" s="39"/>
      <c r="X10" s="5"/>
      <c r="Y10" s="5"/>
      <c r="Z10" s="39" t="s">
        <v>148</v>
      </c>
      <c r="AA10" s="5"/>
      <c r="AB10" s="5"/>
      <c r="AC10" s="5"/>
      <c r="AD10" s="5"/>
      <c r="AE10" s="5"/>
      <c r="AF10" s="5"/>
      <c r="AK10" s="12"/>
      <c r="AL10" s="4"/>
    </row>
    <row r="11" spans="1:42" s="7" customFormat="1" ht="24.75" customHeight="1" x14ac:dyDescent="0.3">
      <c r="A11" s="14">
        <v>5</v>
      </c>
      <c r="B11" s="177" t="s">
        <v>68</v>
      </c>
      <c r="C11" s="178"/>
      <c r="D11" s="112">
        <f>F4-(25*2+10)</f>
        <v>940</v>
      </c>
      <c r="E11" s="60" t="s">
        <v>10</v>
      </c>
      <c r="F11" s="61">
        <f>(D9-10)/L4</f>
        <v>620</v>
      </c>
      <c r="G11" s="60" t="s">
        <v>10</v>
      </c>
      <c r="H11" s="61">
        <v>40</v>
      </c>
      <c r="I11" s="60" t="s">
        <v>10</v>
      </c>
      <c r="J11" s="64">
        <v>1.2</v>
      </c>
      <c r="K11" s="60" t="s">
        <v>25</v>
      </c>
      <c r="L11" s="62">
        <f>(D11+80-4)*(F11+110)*J11*7.85/1000000</f>
        <v>6.9866256</v>
      </c>
      <c r="M11" s="63" t="s">
        <v>26</v>
      </c>
      <c r="N11" s="61">
        <f>N9/2*L4</f>
        <v>16</v>
      </c>
      <c r="O11" s="60" t="s">
        <v>27</v>
      </c>
      <c r="P11" s="64">
        <f t="shared" si="0"/>
        <v>111.7860096</v>
      </c>
      <c r="Q11" s="60" t="s">
        <v>26</v>
      </c>
      <c r="R11" s="20">
        <f>P11*(IF(J11&lt;1,$AG$4+20,$AG$4)+40)+P11*362+D11*F11/90000*N11*380</f>
        <v>193859.6430449778</v>
      </c>
      <c r="S11" s="9" t="s">
        <v>8</v>
      </c>
      <c r="T11" s="151"/>
      <c r="U11" s="152"/>
      <c r="V11" s="12"/>
      <c r="W11" s="39"/>
      <c r="X11" s="5"/>
      <c r="Y11" s="5"/>
      <c r="Z11" s="39" t="s">
        <v>115</v>
      </c>
      <c r="AA11" s="5"/>
      <c r="AB11" s="5"/>
      <c r="AC11" s="5"/>
      <c r="AD11" s="5"/>
      <c r="AE11" s="5"/>
      <c r="AF11" s="5"/>
      <c r="AK11" s="12"/>
      <c r="AL11" s="4"/>
    </row>
    <row r="12" spans="1:42" s="7" customFormat="1" ht="24.75" customHeight="1" x14ac:dyDescent="0.3">
      <c r="A12" s="14">
        <v>6</v>
      </c>
      <c r="B12" s="177" t="s">
        <v>29</v>
      </c>
      <c r="C12" s="178"/>
      <c r="D12" s="61">
        <f>D11-15</f>
        <v>925</v>
      </c>
      <c r="E12" s="60" t="s">
        <v>10</v>
      </c>
      <c r="F12" s="61"/>
      <c r="G12" s="60" t="s">
        <v>10</v>
      </c>
      <c r="H12" s="61"/>
      <c r="I12" s="60" t="s">
        <v>10</v>
      </c>
      <c r="J12" s="64">
        <v>1</v>
      </c>
      <c r="K12" s="60" t="s">
        <v>25</v>
      </c>
      <c r="L12" s="62">
        <f>D12*135*J12*7.85/1000000</f>
        <v>0.98026875000000002</v>
      </c>
      <c r="M12" s="63" t="s">
        <v>26</v>
      </c>
      <c r="N12" s="61">
        <f>N11*2</f>
        <v>32</v>
      </c>
      <c r="O12" s="60" t="s">
        <v>27</v>
      </c>
      <c r="P12" s="64">
        <f t="shared" si="0"/>
        <v>31.368600000000001</v>
      </c>
      <c r="Q12" s="60" t="s">
        <v>26</v>
      </c>
      <c r="R12" s="20">
        <f>P12*(IF(J12&lt;1,$AG$4+20,$AG$4)+40)+P12*362</f>
        <v>43351.405200000001</v>
      </c>
      <c r="S12" s="9" t="s">
        <v>8</v>
      </c>
      <c r="T12" s="151"/>
      <c r="U12" s="152"/>
      <c r="V12" s="12"/>
      <c r="W12" s="39"/>
      <c r="X12" s="5"/>
      <c r="Y12" s="5"/>
      <c r="Z12" s="39" t="s">
        <v>103</v>
      </c>
      <c r="AA12" s="5"/>
      <c r="AB12" s="5"/>
      <c r="AC12" s="5"/>
      <c r="AD12" s="5"/>
      <c r="AE12" s="5"/>
      <c r="AF12" s="5"/>
      <c r="AK12" s="12"/>
      <c r="AL12" s="4"/>
    </row>
    <row r="13" spans="1:42" s="7" customFormat="1" ht="24.75" customHeight="1" x14ac:dyDescent="0.3">
      <c r="A13" s="14">
        <v>7</v>
      </c>
      <c r="B13" s="96" t="s">
        <v>143</v>
      </c>
      <c r="C13" s="95" t="s">
        <v>98</v>
      </c>
      <c r="D13" s="16"/>
      <c r="E13" s="9" t="s">
        <v>10</v>
      </c>
      <c r="F13" s="111">
        <f>IF($B$7="85바",($F$4-125)+50,IF($B$7="95바",($F$4-135)+50))</f>
        <v>925</v>
      </c>
      <c r="G13" s="9" t="s">
        <v>10</v>
      </c>
      <c r="H13" s="16"/>
      <c r="I13" s="9" t="s">
        <v>10</v>
      </c>
      <c r="J13" s="102">
        <f t="shared" ref="J13:J14" si="1">IF(B13="HR",1.6,IF(B13="아연도",1.5))</f>
        <v>1.5</v>
      </c>
      <c r="K13" s="94" t="s">
        <v>25</v>
      </c>
      <c r="L13" s="18">
        <f>93*F13*J13*7.85/10^6</f>
        <v>1.012944375</v>
      </c>
      <c r="M13" s="9" t="s">
        <v>26</v>
      </c>
      <c r="N13" s="16">
        <f>N7</f>
        <v>6</v>
      </c>
      <c r="O13" s="9" t="s">
        <v>27</v>
      </c>
      <c r="P13" s="19">
        <f t="shared" si="0"/>
        <v>6.07766625</v>
      </c>
      <c r="Q13" s="9" t="s">
        <v>26</v>
      </c>
      <c r="R13" s="20">
        <f>P13*IF(B13="HR",IF(AND(1.6&lt;J13,J13&lt;2),$AG$4+10,IF(AND(1.4&lt;J13,J13&lt;=1.6),$AG$4+20,IF(J13&lt;=1.4,$AG$4+40,$AG$4))),IF(B13="아연도",IF(J13&lt;1,$AG$4+20,$AG$4)+120))+P13*240+F13/1000*IF(B13="HR",500,IF(B13="아연도",0))*N13</f>
        <v>8144.0727750000005</v>
      </c>
      <c r="S13" s="9" t="s">
        <v>8</v>
      </c>
      <c r="T13" s="151"/>
      <c r="U13" s="152"/>
      <c r="V13" s="5"/>
      <c r="W13" s="12"/>
      <c r="X13" s="5"/>
      <c r="Y13" s="5"/>
      <c r="Z13" s="39" t="s">
        <v>111</v>
      </c>
      <c r="AA13" s="5"/>
      <c r="AB13" s="5"/>
      <c r="AC13" s="5"/>
      <c r="AD13" s="5"/>
      <c r="AE13" s="5"/>
      <c r="AF13" s="5"/>
      <c r="AK13" s="5"/>
      <c r="AL13" s="4"/>
    </row>
    <row r="14" spans="1:42" s="7" customFormat="1" ht="24.75" customHeight="1" x14ac:dyDescent="0.3">
      <c r="A14" s="14">
        <v>8</v>
      </c>
      <c r="B14" s="96" t="str">
        <f>B13</f>
        <v>아연도</v>
      </c>
      <c r="C14" s="95" t="s">
        <v>99</v>
      </c>
      <c r="D14" s="16"/>
      <c r="E14" s="9" t="s">
        <v>10</v>
      </c>
      <c r="F14" s="111">
        <f>IF($B$7="85바",SQRT(($F$4-125)^2+$X$5^2)+50,IF($B$7="95바",SQRT(($F$4-135)^2+$X$5^2)+50))</f>
        <v>1202.443057161611</v>
      </c>
      <c r="G14" s="9" t="s">
        <v>10</v>
      </c>
      <c r="H14" s="16"/>
      <c r="I14" s="9" t="s">
        <v>10</v>
      </c>
      <c r="J14" s="102">
        <f t="shared" si="1"/>
        <v>1.5</v>
      </c>
      <c r="K14" s="94" t="s">
        <v>25</v>
      </c>
      <c r="L14" s="18">
        <f>93*F14*J14*7.85/10^6</f>
        <v>1.3167653308212512</v>
      </c>
      <c r="M14" s="9" t="s">
        <v>26</v>
      </c>
      <c r="N14" s="16">
        <f>N7/2*X6</f>
        <v>12</v>
      </c>
      <c r="O14" s="9" t="s">
        <v>27</v>
      </c>
      <c r="P14" s="19">
        <f t="shared" si="0"/>
        <v>15.801183969855014</v>
      </c>
      <c r="Q14" s="9" t="s">
        <v>26</v>
      </c>
      <c r="R14" s="20">
        <f>P14*IF(B14="HR",IF(AND(1.6&lt;J14,J14&lt;2),$AG$4+10,IF(AND(1.4&lt;J14,J14&lt;=1.6),$AG$4+20,IF(J14&lt;=1.4,$AG$4+40,$AG$4))),IF(B14="아연도",IF(J14&lt;1,$AG$4+20,$AG$4)+120))+P14*240+F14/1000*IF(B14="HR",500,IF(B14="아연도",0))*N14</f>
        <v>21173.58651960572</v>
      </c>
      <c r="S14" s="9" t="s">
        <v>8</v>
      </c>
      <c r="T14" s="151"/>
      <c r="U14" s="152"/>
      <c r="V14" s="5"/>
      <c r="W14" s="39"/>
      <c r="X14" s="5"/>
      <c r="Y14" s="5"/>
      <c r="Z14" s="39" t="s">
        <v>136</v>
      </c>
      <c r="AA14" s="5"/>
      <c r="AB14" s="5"/>
      <c r="AC14" s="5"/>
      <c r="AD14" s="5"/>
      <c r="AE14" s="5"/>
      <c r="AF14" s="5"/>
      <c r="AK14" s="27"/>
      <c r="AL14" s="12"/>
      <c r="AM14" s="4"/>
    </row>
    <row r="15" spans="1:42" s="7" customFormat="1" ht="24.75" customHeight="1" x14ac:dyDescent="0.3">
      <c r="A15" s="14">
        <v>9</v>
      </c>
      <c r="B15" s="125" t="s">
        <v>57</v>
      </c>
      <c r="C15" s="142"/>
      <c r="D15" s="159" t="s">
        <v>58</v>
      </c>
      <c r="E15" s="160"/>
      <c r="F15" s="160"/>
      <c r="G15" s="160"/>
      <c r="H15" s="160"/>
      <c r="I15" s="161"/>
      <c r="J15" s="19">
        <v>1.4</v>
      </c>
      <c r="K15" s="94" t="s">
        <v>25</v>
      </c>
      <c r="L15" s="18">
        <f>0.566*6/124</f>
        <v>2.7387096774193549E-2</v>
      </c>
      <c r="M15" s="9" t="s">
        <v>26</v>
      </c>
      <c r="N15" s="16">
        <f>N7</f>
        <v>6</v>
      </c>
      <c r="O15" s="9" t="s">
        <v>27</v>
      </c>
      <c r="P15" s="19"/>
      <c r="Q15" s="9"/>
      <c r="R15" s="20">
        <f>N15*120</f>
        <v>720</v>
      </c>
      <c r="S15" s="9" t="s">
        <v>8</v>
      </c>
      <c r="T15" s="151"/>
      <c r="U15" s="152"/>
      <c r="V15" s="5"/>
      <c r="W15" s="39"/>
      <c r="X15" s="5"/>
      <c r="Y15" s="5"/>
      <c r="Z15" s="39" t="s">
        <v>137</v>
      </c>
      <c r="AA15" s="5"/>
      <c r="AB15" s="5"/>
      <c r="AC15" s="5"/>
      <c r="AD15" s="5"/>
      <c r="AE15" s="5"/>
      <c r="AF15" s="5"/>
      <c r="AK15" s="27"/>
      <c r="AL15" s="54"/>
      <c r="AM15" s="4"/>
    </row>
    <row r="16" spans="1:42" s="7" customFormat="1" ht="24.75" customHeight="1" x14ac:dyDescent="0.3">
      <c r="A16" s="14">
        <v>10</v>
      </c>
      <c r="B16" s="125" t="s">
        <v>59</v>
      </c>
      <c r="C16" s="142"/>
      <c r="D16" s="16">
        <v>130</v>
      </c>
      <c r="E16" s="9" t="s">
        <v>10</v>
      </c>
      <c r="F16" s="16">
        <v>100</v>
      </c>
      <c r="G16" s="9" t="s">
        <v>10</v>
      </c>
      <c r="H16" s="16"/>
      <c r="I16" s="9" t="s">
        <v>10</v>
      </c>
      <c r="J16" s="19">
        <v>1.2</v>
      </c>
      <c r="K16" s="94" t="s">
        <v>25</v>
      </c>
      <c r="L16" s="18">
        <f>D16*F16*J16*7.85/10^6</f>
        <v>0.12246</v>
      </c>
      <c r="M16" s="9" t="s">
        <v>26</v>
      </c>
      <c r="N16" s="16">
        <f>N7*2</f>
        <v>12</v>
      </c>
      <c r="O16" s="9" t="s">
        <v>27</v>
      </c>
      <c r="P16" s="19"/>
      <c r="Q16" s="9"/>
      <c r="R16" s="20">
        <f>N16*270</f>
        <v>3240</v>
      </c>
      <c r="S16" s="9" t="s">
        <v>8</v>
      </c>
      <c r="T16" s="151"/>
      <c r="U16" s="152"/>
      <c r="V16" s="5"/>
      <c r="W16" s="39"/>
      <c r="X16" s="5"/>
      <c r="Y16" s="5"/>
      <c r="Z16" s="39" t="s">
        <v>138</v>
      </c>
      <c r="AA16" s="5"/>
      <c r="AB16" s="5"/>
      <c r="AC16" s="5"/>
      <c r="AD16" s="5"/>
      <c r="AE16" s="5"/>
      <c r="AF16" s="5"/>
      <c r="AG16" s="12"/>
      <c r="AJ16" s="27"/>
      <c r="AK16" s="27"/>
      <c r="AL16" s="12"/>
      <c r="AM16" s="4"/>
      <c r="AN16" s="3"/>
      <c r="AO16" s="3"/>
      <c r="AP16" s="3"/>
    </row>
    <row r="17" spans="1:44" s="7" customFormat="1" ht="24.75" customHeight="1" x14ac:dyDescent="0.3">
      <c r="A17" s="14">
        <v>11</v>
      </c>
      <c r="B17" s="125" t="s">
        <v>36</v>
      </c>
      <c r="C17" s="142"/>
      <c r="D17" s="154" t="s">
        <v>31</v>
      </c>
      <c r="E17" s="155"/>
      <c r="F17" s="155"/>
      <c r="G17" s="155"/>
      <c r="H17" s="155"/>
      <c r="I17" s="155"/>
      <c r="J17" s="155"/>
      <c r="K17" s="155"/>
      <c r="L17" s="155"/>
      <c r="M17" s="156"/>
      <c r="N17" s="16">
        <f>N9*2</f>
        <v>16</v>
      </c>
      <c r="O17" s="9" t="s">
        <v>27</v>
      </c>
      <c r="P17" s="19"/>
      <c r="Q17" s="9"/>
      <c r="R17" s="20">
        <f>N17*110</f>
        <v>1760</v>
      </c>
      <c r="S17" s="9" t="s">
        <v>8</v>
      </c>
      <c r="T17" s="151"/>
      <c r="U17" s="152"/>
      <c r="V17" s="5"/>
      <c r="W17" s="39"/>
      <c r="X17" s="5"/>
      <c r="Y17" s="5"/>
      <c r="Z17" s="55" t="s">
        <v>15</v>
      </c>
      <c r="AA17" s="5"/>
      <c r="AB17" s="5"/>
      <c r="AC17" s="5"/>
      <c r="AD17" s="5"/>
      <c r="AE17" s="5"/>
      <c r="AF17" s="5"/>
      <c r="AJ17" s="47"/>
      <c r="AK17" s="27"/>
      <c r="AL17" s="12"/>
      <c r="AM17" s="25"/>
      <c r="AN17" s="3"/>
      <c r="AO17" s="3"/>
      <c r="AP17" s="3"/>
    </row>
    <row r="18" spans="1:44" s="7" customFormat="1" ht="24.75" customHeight="1" x14ac:dyDescent="0.3">
      <c r="A18" s="14">
        <v>12</v>
      </c>
      <c r="B18" s="125" t="s">
        <v>60</v>
      </c>
      <c r="C18" s="142"/>
      <c r="D18" s="154" t="s">
        <v>61</v>
      </c>
      <c r="E18" s="155"/>
      <c r="F18" s="155"/>
      <c r="G18" s="155"/>
      <c r="H18" s="155"/>
      <c r="I18" s="155"/>
      <c r="J18" s="155"/>
      <c r="K18" s="155"/>
      <c r="L18" s="155"/>
      <c r="M18" s="156"/>
      <c r="N18" s="16">
        <f>N8*2</f>
        <v>12</v>
      </c>
      <c r="O18" s="9" t="s">
        <v>27</v>
      </c>
      <c r="P18" s="19"/>
      <c r="Q18" s="9"/>
      <c r="R18" s="20">
        <f>N18*110</f>
        <v>1320</v>
      </c>
      <c r="S18" s="9" t="s">
        <v>8</v>
      </c>
      <c r="T18" s="151"/>
      <c r="U18" s="152"/>
      <c r="V18" s="5"/>
      <c r="W18" s="39"/>
      <c r="X18" s="5"/>
      <c r="Y18" s="5"/>
      <c r="Z18" s="39" t="s">
        <v>134</v>
      </c>
      <c r="AA18" s="5"/>
      <c r="AB18" s="5"/>
      <c r="AC18" s="5"/>
      <c r="AD18" s="5"/>
      <c r="AE18" s="5"/>
      <c r="AF18" s="5"/>
      <c r="AJ18" s="48"/>
      <c r="AK18" s="12"/>
      <c r="AL18" s="25"/>
      <c r="AM18" s="3"/>
      <c r="AN18" s="3"/>
      <c r="AO18" s="3"/>
      <c r="AP18" s="3"/>
    </row>
    <row r="19" spans="1:44" s="7" customFormat="1" ht="24.75" customHeight="1" x14ac:dyDescent="0.3">
      <c r="A19" s="14">
        <v>13</v>
      </c>
      <c r="B19" s="125" t="s">
        <v>60</v>
      </c>
      <c r="C19" s="142"/>
      <c r="D19" s="154" t="s">
        <v>62</v>
      </c>
      <c r="E19" s="155"/>
      <c r="F19" s="155"/>
      <c r="G19" s="155"/>
      <c r="H19" s="155"/>
      <c r="I19" s="155"/>
      <c r="J19" s="155"/>
      <c r="K19" s="155"/>
      <c r="L19" s="155"/>
      <c r="M19" s="156"/>
      <c r="N19" s="16">
        <f>N7/2*(X6+3)</f>
        <v>21</v>
      </c>
      <c r="O19" s="9" t="s">
        <v>27</v>
      </c>
      <c r="P19" s="19"/>
      <c r="Q19" s="9"/>
      <c r="R19" s="20">
        <f>N19*130</f>
        <v>2730</v>
      </c>
      <c r="S19" s="9" t="s">
        <v>8</v>
      </c>
      <c r="T19" s="151"/>
      <c r="U19" s="152"/>
      <c r="V19" s="5"/>
      <c r="Z19" s="39" t="s">
        <v>133</v>
      </c>
      <c r="AB19" s="46"/>
      <c r="AC19" s="46"/>
      <c r="AD19" s="46"/>
      <c r="AE19" s="46"/>
      <c r="AF19" s="46"/>
      <c r="AH19" s="27"/>
      <c r="AI19" s="53"/>
      <c r="AJ19" s="47"/>
      <c r="AK19" s="12"/>
      <c r="AL19" s="25"/>
      <c r="AM19" s="3"/>
      <c r="AN19" s="3"/>
      <c r="AO19" s="3"/>
      <c r="AP19" s="3"/>
    </row>
    <row r="20" spans="1:44" s="7" customFormat="1" ht="24.75" customHeight="1" x14ac:dyDescent="0.3">
      <c r="A20" s="14">
        <v>14</v>
      </c>
      <c r="B20" s="125" t="s">
        <v>63</v>
      </c>
      <c r="C20" s="142"/>
      <c r="D20" s="154" t="s">
        <v>64</v>
      </c>
      <c r="E20" s="155"/>
      <c r="F20" s="155"/>
      <c r="G20" s="155"/>
      <c r="H20" s="155"/>
      <c r="I20" s="155"/>
      <c r="J20" s="155"/>
      <c r="K20" s="155"/>
      <c r="L20" s="155"/>
      <c r="M20" s="156"/>
      <c r="N20" s="16">
        <f>N8*1</f>
        <v>6</v>
      </c>
      <c r="O20" s="9" t="s">
        <v>27</v>
      </c>
      <c r="P20" s="19"/>
      <c r="Q20" s="9"/>
      <c r="R20" s="20">
        <f>N20*280</f>
        <v>1680</v>
      </c>
      <c r="S20" s="9" t="s">
        <v>8</v>
      </c>
      <c r="T20" s="151"/>
      <c r="U20" s="152"/>
      <c r="V20" s="5"/>
      <c r="W20" s="21" t="s">
        <v>32</v>
      </c>
      <c r="X20" s="21" t="s">
        <v>33</v>
      </c>
      <c r="Y20" s="21" t="s">
        <v>34</v>
      </c>
      <c r="Z20" s="21" t="s">
        <v>35</v>
      </c>
      <c r="AA20" s="46"/>
      <c r="AB20" s="46"/>
      <c r="AC20" s="46"/>
      <c r="AD20" s="46"/>
      <c r="AE20" s="46"/>
      <c r="AF20" s="46"/>
      <c r="AH20" s="56"/>
      <c r="AI20" s="28"/>
      <c r="AJ20" s="47"/>
      <c r="AK20" s="12"/>
      <c r="AL20" s="57"/>
      <c r="AM20" s="57"/>
      <c r="AN20" s="57"/>
      <c r="AO20" s="57"/>
      <c r="AP20" s="3"/>
    </row>
    <row r="21" spans="1:44" s="7" customFormat="1" ht="24.75" customHeight="1" thickBot="1" x14ac:dyDescent="0.35">
      <c r="A21" s="14">
        <v>15</v>
      </c>
      <c r="B21" s="164" t="s">
        <v>37</v>
      </c>
      <c r="C21" s="165"/>
      <c r="D21" s="166" t="s">
        <v>31</v>
      </c>
      <c r="E21" s="167"/>
      <c r="F21" s="167"/>
      <c r="G21" s="167"/>
      <c r="H21" s="167"/>
      <c r="I21" s="167"/>
      <c r="J21" s="167"/>
      <c r="K21" s="167"/>
      <c r="L21" s="167"/>
      <c r="M21" s="168"/>
      <c r="N21" s="16"/>
      <c r="O21" s="9"/>
      <c r="P21" s="19">
        <f>SUM(P7:P20)*3%</f>
        <v>10.872494922595651</v>
      </c>
      <c r="Q21" s="9" t="s">
        <v>26</v>
      </c>
      <c r="R21" s="20">
        <f>P21*$AG$4</f>
        <v>10655.045024143737</v>
      </c>
      <c r="S21" s="9" t="s">
        <v>8</v>
      </c>
      <c r="T21" s="151"/>
      <c r="U21" s="152"/>
      <c r="V21" s="5"/>
      <c r="W21" s="21" t="s">
        <v>5</v>
      </c>
      <c r="X21" s="21">
        <f>N4</f>
        <v>1</v>
      </c>
      <c r="Y21" s="21"/>
      <c r="Z21" s="21">
        <f>X21*Y21</f>
        <v>0</v>
      </c>
      <c r="AA21" s="46"/>
      <c r="AB21" s="46"/>
      <c r="AC21" s="46"/>
      <c r="AD21" s="46"/>
      <c r="AE21" s="46"/>
      <c r="AF21" s="46"/>
      <c r="AH21" s="56"/>
      <c r="AI21" s="28"/>
      <c r="AJ21" s="47"/>
      <c r="AK21" s="54"/>
      <c r="AL21" s="57"/>
      <c r="AM21" s="57"/>
      <c r="AN21" s="57"/>
      <c r="AO21" s="57"/>
      <c r="AP21" s="3"/>
      <c r="AQ21" s="3"/>
      <c r="AR21" s="3"/>
    </row>
    <row r="22" spans="1:44" s="7" customFormat="1" ht="24.75" customHeight="1" thickTop="1" thickBot="1" x14ac:dyDescent="0.35">
      <c r="A22" s="171" t="s">
        <v>38</v>
      </c>
      <c r="B22" s="172"/>
      <c r="C22" s="172"/>
      <c r="D22" s="172"/>
      <c r="E22" s="172"/>
      <c r="F22" s="172"/>
      <c r="G22" s="172"/>
      <c r="H22" s="172"/>
      <c r="I22" s="172"/>
      <c r="J22" s="172"/>
      <c r="K22" s="172"/>
      <c r="L22" s="172"/>
      <c r="M22" s="173"/>
      <c r="N22" s="22">
        <f>SUM(N7:N21)</f>
        <v>175</v>
      </c>
      <c r="O22" s="23" t="s">
        <v>27</v>
      </c>
      <c r="P22" s="24">
        <f>SUM(P7:P21)</f>
        <v>373.28899234245068</v>
      </c>
      <c r="Q22" s="23" t="s">
        <v>26</v>
      </c>
      <c r="R22" s="49">
        <f>MROUND((SUM(R7:R21)+SUM(R7:R21)*T22%),10)</f>
        <v>652580</v>
      </c>
      <c r="S22" s="50" t="s">
        <v>8</v>
      </c>
      <c r="T22" s="51">
        <v>10</v>
      </c>
      <c r="U22" s="52" t="s">
        <v>65</v>
      </c>
      <c r="V22" s="5"/>
      <c r="W22" s="21" t="s">
        <v>6</v>
      </c>
      <c r="X22" s="21">
        <f>P4</f>
        <v>1</v>
      </c>
      <c r="Y22" s="21"/>
      <c r="Z22" s="21">
        <f>X22*Y22</f>
        <v>0</v>
      </c>
      <c r="AA22" s="46"/>
      <c r="AB22" s="46"/>
      <c r="AC22" s="46"/>
      <c r="AD22" s="46"/>
      <c r="AE22" s="46"/>
      <c r="AF22" s="46"/>
      <c r="AH22" s="27"/>
      <c r="AI22" s="53"/>
      <c r="AJ22" s="47"/>
      <c r="AK22" s="12"/>
      <c r="AL22" s="57"/>
      <c r="AM22" s="57"/>
      <c r="AN22" s="57"/>
      <c r="AO22" s="57"/>
      <c r="AP22" s="3"/>
      <c r="AQ22" s="3"/>
      <c r="AR22" s="3"/>
    </row>
    <row r="23" spans="1:44" s="7" customFormat="1" ht="24.75" customHeight="1" x14ac:dyDescent="0.3">
      <c r="A23" s="2"/>
      <c r="B23" s="2"/>
      <c r="C23" s="2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5"/>
      <c r="W23" s="174" t="s">
        <v>39</v>
      </c>
      <c r="X23" s="175"/>
      <c r="Y23" s="176"/>
      <c r="Z23" s="21">
        <f>SUM(Z21:Z22)</f>
        <v>0</v>
      </c>
      <c r="AA23" s="46"/>
      <c r="AB23" s="5"/>
      <c r="AC23" s="5"/>
      <c r="AD23" s="5"/>
      <c r="AE23" s="5"/>
      <c r="AF23" s="5"/>
      <c r="AG23" s="5"/>
      <c r="AH23" s="27"/>
      <c r="AI23" s="53"/>
      <c r="AJ23" s="47"/>
      <c r="AK23" s="12"/>
      <c r="AL23" s="57"/>
      <c r="AM23" s="57"/>
      <c r="AN23" s="57"/>
      <c r="AO23" s="57"/>
      <c r="AP23" s="4"/>
      <c r="AQ23" s="3"/>
      <c r="AR23" s="3"/>
    </row>
    <row r="24" spans="1:44" s="7" customFormat="1" ht="24.75" customHeight="1" x14ac:dyDescent="0.3">
      <c r="A24" s="2"/>
      <c r="B24" s="2"/>
      <c r="C24" s="2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5"/>
      <c r="AB24" s="5"/>
      <c r="AC24" s="5"/>
      <c r="AD24" s="5"/>
      <c r="AE24" s="5"/>
      <c r="AF24" s="5"/>
      <c r="AG24" s="5"/>
      <c r="AH24" s="27"/>
      <c r="AI24" s="53"/>
      <c r="AJ24" s="47"/>
      <c r="AK24" s="12"/>
      <c r="AL24" s="57"/>
      <c r="AM24" s="57"/>
      <c r="AN24" s="57"/>
      <c r="AO24" s="57"/>
      <c r="AP24" s="3"/>
      <c r="AQ24" s="3"/>
      <c r="AR24" s="3"/>
    </row>
    <row r="25" spans="1:44" ht="24.75" customHeight="1" x14ac:dyDescent="0.3">
      <c r="AK25" s="7"/>
      <c r="AL25" s="57"/>
      <c r="AM25" s="57"/>
      <c r="AN25" s="57"/>
      <c r="AO25" s="57"/>
    </row>
    <row r="26" spans="1:44" ht="24.75" customHeight="1" x14ac:dyDescent="0.3">
      <c r="AG26" s="54"/>
      <c r="AK26" s="12"/>
      <c r="AL26" s="13"/>
      <c r="AM26" s="13"/>
      <c r="AN26" s="4"/>
      <c r="AO26" s="4"/>
      <c r="AQ26" s="4"/>
      <c r="AR26" s="4"/>
    </row>
    <row r="27" spans="1:44" ht="24.75" customHeight="1" x14ac:dyDescent="0.3">
      <c r="AG27" s="54"/>
      <c r="AK27" s="54"/>
      <c r="AL27" s="7"/>
      <c r="AM27" s="7"/>
      <c r="AN27" s="7"/>
      <c r="AO27" s="7"/>
    </row>
    <row r="28" spans="1:44" ht="24.75" customHeight="1" x14ac:dyDescent="0.3">
      <c r="AK28" s="12"/>
      <c r="AL28" s="7"/>
      <c r="AM28" s="7"/>
      <c r="AN28" s="7"/>
      <c r="AO28" s="7"/>
    </row>
    <row r="29" spans="1:44" ht="24.75" customHeight="1" x14ac:dyDescent="0.3">
      <c r="AG29" s="27"/>
      <c r="AK29" s="12"/>
      <c r="AL29" s="7"/>
      <c r="AM29" s="7"/>
      <c r="AN29" s="7"/>
      <c r="AO29" s="7"/>
    </row>
    <row r="30" spans="1:44" s="4" customFormat="1" ht="24.75" customHeight="1" x14ac:dyDescent="0.3">
      <c r="A30" s="2"/>
      <c r="B30" s="2"/>
      <c r="C30" s="2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27"/>
      <c r="AH30" s="27"/>
      <c r="AI30" s="53"/>
      <c r="AJ30" s="47"/>
      <c r="AK30" s="12"/>
      <c r="AL30" s="25"/>
      <c r="AM30" s="3"/>
      <c r="AN30" s="3"/>
      <c r="AO30" s="3"/>
      <c r="AP30" s="3"/>
      <c r="AQ30" s="6"/>
      <c r="AR30" s="6"/>
    </row>
    <row r="31" spans="1:44" ht="24.75" customHeight="1" x14ac:dyDescent="0.3">
      <c r="AG31" s="27"/>
      <c r="AQ31" s="6"/>
      <c r="AR31" s="6"/>
    </row>
    <row r="32" spans="1:44" ht="24.75" customHeight="1" x14ac:dyDescent="0.3">
      <c r="AG32" s="27"/>
      <c r="AQ32" s="6"/>
      <c r="AR32" s="6"/>
    </row>
    <row r="33" spans="1:44" ht="24.75" customHeight="1" x14ac:dyDescent="0.3">
      <c r="AG33" s="27"/>
      <c r="AQ33" s="6"/>
      <c r="AR33" s="6"/>
    </row>
    <row r="34" spans="1:44" s="6" customFormat="1" ht="24.75" customHeight="1" x14ac:dyDescent="0.3">
      <c r="A34" s="2"/>
      <c r="B34" s="2"/>
      <c r="C34" s="2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27"/>
      <c r="AH34" s="27"/>
      <c r="AI34" s="53"/>
      <c r="AJ34" s="47"/>
      <c r="AK34" s="47"/>
      <c r="AL34" s="25"/>
      <c r="AM34" s="3"/>
      <c r="AN34" s="3"/>
      <c r="AO34" s="3"/>
      <c r="AP34" s="3"/>
    </row>
    <row r="35" spans="1:44" s="6" customFormat="1" ht="24.75" customHeight="1" x14ac:dyDescent="0.3">
      <c r="A35" s="2"/>
      <c r="B35" s="2"/>
      <c r="C35" s="2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27"/>
      <c r="AI35" s="53"/>
      <c r="AJ35" s="47"/>
      <c r="AK35" s="47"/>
      <c r="AL35" s="25"/>
      <c r="AM35" s="3"/>
      <c r="AN35" s="3"/>
      <c r="AO35" s="3"/>
      <c r="AP35" s="3"/>
    </row>
    <row r="36" spans="1:44" s="6" customFormat="1" ht="24.75" customHeight="1" x14ac:dyDescent="0.3">
      <c r="A36" s="2"/>
      <c r="B36" s="2"/>
      <c r="C36" s="2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27"/>
      <c r="AI36" s="53"/>
      <c r="AJ36" s="47"/>
      <c r="AK36" s="47"/>
      <c r="AL36" s="25"/>
      <c r="AM36" s="3"/>
      <c r="AN36" s="3"/>
      <c r="AO36" s="3"/>
      <c r="AP36" s="3"/>
      <c r="AQ36" s="3"/>
      <c r="AR36" s="3"/>
    </row>
    <row r="37" spans="1:44" s="6" customFormat="1" ht="24.75" customHeight="1" x14ac:dyDescent="0.3">
      <c r="A37" s="2"/>
      <c r="B37" s="2"/>
      <c r="C37" s="2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27"/>
      <c r="AI37" s="53"/>
      <c r="AJ37" s="47"/>
      <c r="AK37" s="47"/>
      <c r="AL37" s="25"/>
      <c r="AM37" s="3"/>
      <c r="AN37" s="3"/>
      <c r="AO37" s="3"/>
      <c r="AP37" s="3"/>
      <c r="AQ37" s="3"/>
      <c r="AR37" s="3"/>
    </row>
    <row r="38" spans="1:44" s="6" customFormat="1" ht="24.75" customHeight="1" x14ac:dyDescent="0.3">
      <c r="A38" s="2"/>
      <c r="B38" s="2"/>
      <c r="C38" s="2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27"/>
      <c r="AI38" s="53"/>
      <c r="AJ38" s="47"/>
      <c r="AK38" s="47"/>
      <c r="AL38" s="25"/>
      <c r="AM38" s="3"/>
      <c r="AN38" s="3"/>
      <c r="AO38" s="3"/>
      <c r="AP38" s="3"/>
      <c r="AQ38" s="3"/>
      <c r="AR38" s="3"/>
    </row>
    <row r="39" spans="1:44" s="6" customFormat="1" ht="24.75" customHeight="1" x14ac:dyDescent="0.3">
      <c r="A39" s="2"/>
      <c r="B39" s="2"/>
      <c r="C39" s="2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27"/>
      <c r="AI39" s="53"/>
      <c r="AJ39" s="47"/>
      <c r="AK39" s="47"/>
      <c r="AL39" s="25"/>
      <c r="AM39" s="3"/>
      <c r="AN39" s="3"/>
      <c r="AO39" s="3"/>
      <c r="AP39" s="3"/>
      <c r="AQ39" s="3"/>
      <c r="AR39" s="3"/>
    </row>
  </sheetData>
  <mergeCells count="59">
    <mergeCell ref="A22:M22"/>
    <mergeCell ref="W23:Y23"/>
    <mergeCell ref="B20:C20"/>
    <mergeCell ref="D20:M20"/>
    <mergeCell ref="T20:U20"/>
    <mergeCell ref="B21:C21"/>
    <mergeCell ref="D21:M21"/>
    <mergeCell ref="T21:U21"/>
    <mergeCell ref="B10:C10"/>
    <mergeCell ref="B18:C18"/>
    <mergeCell ref="D18:M18"/>
    <mergeCell ref="T18:U18"/>
    <mergeCell ref="B19:C19"/>
    <mergeCell ref="D19:M19"/>
    <mergeCell ref="T19:U19"/>
    <mergeCell ref="B17:C17"/>
    <mergeCell ref="D17:M17"/>
    <mergeCell ref="T17:U17"/>
    <mergeCell ref="B11:C11"/>
    <mergeCell ref="T11:U11"/>
    <mergeCell ref="B12:C12"/>
    <mergeCell ref="T12:U12"/>
    <mergeCell ref="T13:U13"/>
    <mergeCell ref="T14:U14"/>
    <mergeCell ref="B15:C15"/>
    <mergeCell ref="D15:I15"/>
    <mergeCell ref="T15:U15"/>
    <mergeCell ref="B16:C16"/>
    <mergeCell ref="T16:U16"/>
    <mergeCell ref="T10:U10"/>
    <mergeCell ref="P5:Q6"/>
    <mergeCell ref="R5:S6"/>
    <mergeCell ref="T5:U6"/>
    <mergeCell ref="D6:E6"/>
    <mergeCell ref="F6:G6"/>
    <mergeCell ref="H6:I6"/>
    <mergeCell ref="N5:O6"/>
    <mergeCell ref="T7:U7"/>
    <mergeCell ref="B8:C8"/>
    <mergeCell ref="T8:U8"/>
    <mergeCell ref="B9:C9"/>
    <mergeCell ref="T9:U9"/>
    <mergeCell ref="T3:U3"/>
    <mergeCell ref="A4:C4"/>
    <mergeCell ref="T4:U4"/>
    <mergeCell ref="A3:C3"/>
    <mergeCell ref="D3:E3"/>
    <mergeCell ref="F3:G3"/>
    <mergeCell ref="H3:I3"/>
    <mergeCell ref="J3:K3"/>
    <mergeCell ref="L3:M3"/>
    <mergeCell ref="N3:O3"/>
    <mergeCell ref="P3:Q3"/>
    <mergeCell ref="R3:S3"/>
    <mergeCell ref="A5:A6"/>
    <mergeCell ref="B5:C6"/>
    <mergeCell ref="D5:I5"/>
    <mergeCell ref="J5:K6"/>
    <mergeCell ref="L5:M6"/>
  </mergeCells>
  <phoneticPr fontId="3" type="noConversion"/>
  <dataValidations count="4">
    <dataValidation type="list" allowBlank="1" showInputMessage="1" showErrorMessage="1" sqref="J9" xr:uid="{745DC3E9-0666-4699-9EDD-41E020955517}">
      <formula1>"1.4,1.6,2.0"</formula1>
    </dataValidation>
    <dataValidation type="list" allowBlank="1" showInputMessage="1" showErrorMessage="1" sqref="R4" xr:uid="{A2F27A6C-867F-4941-AB01-407D0F57BF48}">
      <formula1>"100,125,150"</formula1>
    </dataValidation>
    <dataValidation type="list" allowBlank="1" showInputMessage="1" showErrorMessage="1" sqref="B13" xr:uid="{809CA0EC-A0EF-428F-BE64-3499E1D25D9A}">
      <formula1>"HR,아연도"</formula1>
    </dataValidation>
    <dataValidation type="list" allowBlank="1" showInputMessage="1" showErrorMessage="1" sqref="B7" xr:uid="{6D19EB24-3CC9-4DA7-A551-983A7F6E49E2}">
      <formula1>"85바,95바"</formula1>
    </dataValidation>
  </dataValidations>
  <printOptions horizontalCentered="1" verticalCentered="1"/>
  <pageMargins left="0.19685039370078741" right="0.19685039370078741" top="0.55118110236220474" bottom="0.35433070866141736" header="0.11811023622047245" footer="0.11811023622047245"/>
  <pageSetup paperSize="9" scale="91" orientation="landscape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75A3F-3F13-4B51-B91E-CF898B8A9091}">
  <sheetPr>
    <pageSetUpPr fitToPage="1"/>
  </sheetPr>
  <dimension ref="A1:AQ33"/>
  <sheetViews>
    <sheetView view="pageBreakPreview" zoomScale="90" zoomScaleNormal="100" zoomScaleSheetLayoutView="90" workbookViewId="0">
      <selection activeCell="V7" sqref="V7"/>
    </sheetView>
  </sheetViews>
  <sheetFormatPr defaultColWidth="9" defaultRowHeight="27" customHeight="1" x14ac:dyDescent="0.3"/>
  <cols>
    <col min="1" max="1" width="6.375" style="2" customWidth="1"/>
    <col min="2" max="2" width="17" style="2" customWidth="1"/>
    <col min="3" max="3" width="10.5" style="3" customWidth="1"/>
    <col min="4" max="4" width="4.375" style="3" customWidth="1"/>
    <col min="5" max="5" width="6.75" style="3" customWidth="1"/>
    <col min="6" max="6" width="4.375" style="3" customWidth="1"/>
    <col min="7" max="7" width="6.75" style="3" customWidth="1"/>
    <col min="8" max="8" width="4.375" style="3" customWidth="1"/>
    <col min="9" max="9" width="6.875" style="3" customWidth="1"/>
    <col min="10" max="10" width="4.375" style="3" customWidth="1"/>
    <col min="11" max="11" width="7.875" style="3" customWidth="1"/>
    <col min="12" max="12" width="4.375" style="3" customWidth="1"/>
    <col min="13" max="13" width="8.125" style="3" customWidth="1"/>
    <col min="14" max="14" width="4.375" style="3" customWidth="1"/>
    <col min="15" max="15" width="9.5" style="3" customWidth="1"/>
    <col min="16" max="16" width="4.375" style="3" customWidth="1"/>
    <col min="17" max="17" width="12.375" style="3" customWidth="1"/>
    <col min="18" max="18" width="4.875" style="3" customWidth="1"/>
    <col min="19" max="19" width="9" style="3" customWidth="1"/>
    <col min="20" max="20" width="5.5" style="3" customWidth="1"/>
    <col min="21" max="29" width="12.375" style="3" customWidth="1"/>
    <col min="30" max="30" width="8.875" style="5" hidden="1" customWidth="1"/>
    <col min="31" max="31" width="6.375" style="5" customWidth="1"/>
    <col min="32" max="34" width="8.375" style="5" customWidth="1"/>
    <col min="35" max="35" width="8.375" style="27" customWidth="1"/>
    <col min="36" max="36" width="8.375" style="53" customWidth="1"/>
    <col min="37" max="38" width="8.375" style="47" customWidth="1"/>
    <col min="39" max="39" width="8.375" style="25" customWidth="1"/>
    <col min="40" max="61" width="8.375" style="3" customWidth="1"/>
    <col min="62" max="16384" width="9" style="3"/>
  </cols>
  <sheetData>
    <row r="1" spans="1:43" s="5" customFormat="1" ht="27" customHeight="1" x14ac:dyDescent="0.3">
      <c r="A1" s="1" t="s">
        <v>157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26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I1" s="27"/>
      <c r="AJ1" s="28"/>
      <c r="AK1" s="27"/>
      <c r="AL1" s="12"/>
      <c r="AM1" s="25"/>
      <c r="AN1" s="3"/>
      <c r="AO1" s="3"/>
      <c r="AP1" s="3"/>
    </row>
    <row r="2" spans="1:43" s="5" customFormat="1" ht="27" customHeight="1" thickBot="1" x14ac:dyDescent="0.35">
      <c r="A2" s="1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26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I2" s="27"/>
      <c r="AJ2" s="28"/>
      <c r="AK2" s="27"/>
      <c r="AL2" s="12"/>
      <c r="AM2" s="25"/>
      <c r="AN2" s="3"/>
      <c r="AO2" s="3"/>
      <c r="AP2" s="3"/>
    </row>
    <row r="3" spans="1:43" s="7" customFormat="1" ht="27" customHeight="1" x14ac:dyDescent="0.3">
      <c r="A3" s="187" t="s">
        <v>16</v>
      </c>
      <c r="B3" s="188" t="s">
        <v>17</v>
      </c>
      <c r="C3" s="137" t="s">
        <v>18</v>
      </c>
      <c r="D3" s="190"/>
      <c r="E3" s="190"/>
      <c r="F3" s="190"/>
      <c r="G3" s="190"/>
      <c r="H3" s="135"/>
      <c r="I3" s="191" t="s">
        <v>19</v>
      </c>
      <c r="J3" s="184"/>
      <c r="K3" s="183" t="s">
        <v>20</v>
      </c>
      <c r="L3" s="184"/>
      <c r="M3" s="191" t="s">
        <v>21</v>
      </c>
      <c r="N3" s="185"/>
      <c r="O3" s="183" t="s">
        <v>22</v>
      </c>
      <c r="P3" s="184"/>
      <c r="Q3" s="183" t="s">
        <v>23</v>
      </c>
      <c r="R3" s="185"/>
      <c r="S3" s="183" t="s">
        <v>47</v>
      </c>
      <c r="T3" s="186"/>
      <c r="U3" s="66"/>
      <c r="V3" s="66"/>
      <c r="W3" s="66"/>
      <c r="X3" s="66"/>
      <c r="Y3" s="66"/>
      <c r="Z3" s="66"/>
      <c r="AA3" s="66"/>
      <c r="AB3" s="66"/>
      <c r="AC3" s="66"/>
      <c r="AE3" s="5"/>
      <c r="AF3" s="29"/>
      <c r="AG3" s="45"/>
      <c r="AH3" s="28"/>
      <c r="AI3" s="27"/>
      <c r="AJ3" s="12"/>
      <c r="AK3" s="57"/>
      <c r="AL3" s="57"/>
      <c r="AM3" s="57"/>
      <c r="AN3" s="57"/>
    </row>
    <row r="4" spans="1:43" s="7" customFormat="1" ht="27" customHeight="1" x14ac:dyDescent="0.3">
      <c r="A4" s="120"/>
      <c r="B4" s="189"/>
      <c r="C4" s="150" t="s">
        <v>1</v>
      </c>
      <c r="D4" s="127"/>
      <c r="E4" s="125" t="s">
        <v>2</v>
      </c>
      <c r="F4" s="127"/>
      <c r="G4" s="125" t="s">
        <v>3</v>
      </c>
      <c r="H4" s="127"/>
      <c r="I4" s="123"/>
      <c r="J4" s="124"/>
      <c r="K4" s="123"/>
      <c r="L4" s="124"/>
      <c r="M4" s="146"/>
      <c r="N4" s="147"/>
      <c r="O4" s="123"/>
      <c r="P4" s="124"/>
      <c r="Q4" s="146"/>
      <c r="R4" s="147"/>
      <c r="S4" s="146"/>
      <c r="T4" s="149"/>
      <c r="U4" s="66"/>
      <c r="V4" s="66"/>
      <c r="W4" s="66"/>
      <c r="X4" s="66"/>
      <c r="Y4" s="66"/>
      <c r="Z4" s="66"/>
      <c r="AA4" s="66"/>
      <c r="AB4" s="66"/>
      <c r="AC4" s="66"/>
      <c r="AD4" s="34">
        <v>980</v>
      </c>
      <c r="AF4" s="5"/>
      <c r="AG4" s="30"/>
      <c r="AH4" s="38"/>
      <c r="AI4" s="28"/>
      <c r="AJ4" s="27"/>
      <c r="AK4" s="12"/>
      <c r="AL4" s="57"/>
      <c r="AM4" s="57"/>
      <c r="AN4" s="57"/>
      <c r="AO4" s="57"/>
    </row>
    <row r="5" spans="1:43" s="7" customFormat="1" ht="27" customHeight="1" x14ac:dyDescent="0.3">
      <c r="A5" s="119">
        <v>1</v>
      </c>
      <c r="B5" s="58" t="s">
        <v>70</v>
      </c>
      <c r="C5" s="16"/>
      <c r="D5" s="9" t="s">
        <v>10</v>
      </c>
      <c r="E5" s="16">
        <v>80</v>
      </c>
      <c r="F5" s="60" t="s">
        <v>10</v>
      </c>
      <c r="G5" s="67">
        <v>200</v>
      </c>
      <c r="H5" s="60" t="s">
        <v>10</v>
      </c>
      <c r="I5" s="62">
        <v>2</v>
      </c>
      <c r="J5" s="63" t="s">
        <v>25</v>
      </c>
      <c r="K5" s="64">
        <f>118*(G5+70)*I5*7.85/10^6</f>
        <v>0.50020200000000004</v>
      </c>
      <c r="L5" s="60" t="s">
        <v>26</v>
      </c>
      <c r="M5" s="67">
        <v>1</v>
      </c>
      <c r="N5" s="60" t="s">
        <v>27</v>
      </c>
      <c r="O5" s="68">
        <f t="shared" ref="O5" si="0">K5*M5</f>
        <v>0.50020200000000004</v>
      </c>
      <c r="P5" s="60" t="s">
        <v>26</v>
      </c>
      <c r="Q5" s="69">
        <f>O5*(IF(I5&lt;1,$AD$4+20,$AD$4)+120)+M5*(200*4+100*4)</f>
        <v>1750.2222000000002</v>
      </c>
      <c r="R5" s="60" t="s">
        <v>8</v>
      </c>
      <c r="S5" s="151"/>
      <c r="T5" s="152"/>
      <c r="U5" s="65"/>
      <c r="V5" s="55" t="s">
        <v>15</v>
      </c>
      <c r="W5" s="65"/>
      <c r="X5" s="65"/>
      <c r="Y5" s="65"/>
      <c r="Z5" s="65"/>
      <c r="AA5" s="65"/>
      <c r="AB5" s="65"/>
      <c r="AC5" s="65"/>
      <c r="AD5" s="5"/>
      <c r="AE5" s="5"/>
      <c r="AF5" s="5"/>
      <c r="AG5" s="5"/>
      <c r="AH5" s="30"/>
      <c r="AI5" s="38"/>
      <c r="AJ5" s="28"/>
      <c r="AK5" s="27"/>
      <c r="AL5" s="12"/>
      <c r="AM5" s="57"/>
      <c r="AN5" s="57"/>
      <c r="AO5" s="57"/>
      <c r="AP5" s="57"/>
    </row>
    <row r="6" spans="1:43" s="7" customFormat="1" ht="27" customHeight="1" x14ac:dyDescent="0.3">
      <c r="A6" s="180"/>
      <c r="B6" s="15" t="s">
        <v>71</v>
      </c>
      <c r="C6" s="154" t="s">
        <v>61</v>
      </c>
      <c r="D6" s="155"/>
      <c r="E6" s="155"/>
      <c r="F6" s="155"/>
      <c r="G6" s="155"/>
      <c r="H6" s="155"/>
      <c r="I6" s="155"/>
      <c r="J6" s="155"/>
      <c r="K6" s="155"/>
      <c r="L6" s="156"/>
      <c r="M6" s="16">
        <f>M5*4</f>
        <v>4</v>
      </c>
      <c r="N6" s="9" t="s">
        <v>27</v>
      </c>
      <c r="O6" s="70"/>
      <c r="P6" s="9"/>
      <c r="Q6" s="20">
        <f>M6*110</f>
        <v>440</v>
      </c>
      <c r="R6" s="9" t="s">
        <v>8</v>
      </c>
      <c r="S6" s="151"/>
      <c r="T6" s="152"/>
      <c r="U6" s="65"/>
      <c r="V6" s="39" t="s">
        <v>132</v>
      </c>
      <c r="W6" s="65"/>
      <c r="X6" s="65"/>
      <c r="Y6" s="65"/>
      <c r="Z6" s="65"/>
      <c r="AA6" s="65"/>
      <c r="AB6" s="65"/>
      <c r="AC6" s="65"/>
      <c r="AD6" s="5"/>
      <c r="AE6" s="5"/>
      <c r="AF6" s="5"/>
      <c r="AG6" s="5"/>
      <c r="AH6" s="30"/>
      <c r="AI6" s="38"/>
      <c r="AJ6" s="28"/>
      <c r="AK6" s="27"/>
      <c r="AM6" s="57"/>
      <c r="AN6" s="57"/>
      <c r="AO6" s="57"/>
      <c r="AP6" s="57"/>
    </row>
    <row r="7" spans="1:43" s="7" customFormat="1" ht="27" customHeight="1" x14ac:dyDescent="0.3">
      <c r="A7" s="119">
        <v>2</v>
      </c>
      <c r="B7" s="58" t="s">
        <v>72</v>
      </c>
      <c r="C7" s="16"/>
      <c r="D7" s="9" t="s">
        <v>10</v>
      </c>
      <c r="E7" s="16">
        <v>80</v>
      </c>
      <c r="F7" s="60" t="s">
        <v>10</v>
      </c>
      <c r="G7" s="67">
        <v>200</v>
      </c>
      <c r="H7" s="60" t="s">
        <v>10</v>
      </c>
      <c r="I7" s="62">
        <v>2</v>
      </c>
      <c r="J7" s="63" t="s">
        <v>25</v>
      </c>
      <c r="K7" s="64">
        <f>118*(G7+70)*I7*7.85/10^6</f>
        <v>0.50020200000000004</v>
      </c>
      <c r="L7" s="60" t="s">
        <v>26</v>
      </c>
      <c r="M7" s="67">
        <v>1</v>
      </c>
      <c r="N7" s="60" t="s">
        <v>27</v>
      </c>
      <c r="O7" s="68">
        <f t="shared" ref="O7" si="1">K7*M7</f>
        <v>0.50020200000000004</v>
      </c>
      <c r="P7" s="60" t="s">
        <v>26</v>
      </c>
      <c r="Q7" s="20">
        <f>IF(AND(1.6&lt;I7,I7&lt;2),$AD$4+10,IF(AND(1.4&lt;I7,I7&lt;=1.6),$AD$4+20,IF(I7&lt;=1.4,$AD$4+40,$AD$4)))*O7+M7*(200*4+100*4)+(G7+100)*M7*1000/1000</f>
        <v>1990.19796</v>
      </c>
      <c r="R7" s="60" t="s">
        <v>8</v>
      </c>
      <c r="S7" s="151"/>
      <c r="T7" s="152"/>
      <c r="U7" s="65"/>
      <c r="V7" s="65"/>
      <c r="W7" s="65"/>
      <c r="X7" s="65"/>
      <c r="Y7" s="65"/>
      <c r="Z7" s="65"/>
      <c r="AA7" s="65"/>
      <c r="AB7" s="65"/>
      <c r="AC7" s="65"/>
      <c r="AD7" s="5"/>
      <c r="AE7" s="5"/>
      <c r="AF7" s="5"/>
      <c r="AG7" s="5"/>
      <c r="AH7" s="30"/>
      <c r="AI7" s="38"/>
      <c r="AJ7" s="28"/>
      <c r="AK7" s="27"/>
      <c r="AM7" s="57"/>
      <c r="AN7" s="57"/>
      <c r="AO7" s="57"/>
      <c r="AP7" s="57"/>
    </row>
    <row r="8" spans="1:43" s="7" customFormat="1" ht="27" customHeight="1" x14ac:dyDescent="0.3">
      <c r="A8" s="180"/>
      <c r="B8" s="15" t="s">
        <v>71</v>
      </c>
      <c r="C8" s="154" t="s">
        <v>61</v>
      </c>
      <c r="D8" s="155"/>
      <c r="E8" s="155"/>
      <c r="F8" s="155"/>
      <c r="G8" s="155"/>
      <c r="H8" s="155"/>
      <c r="I8" s="155"/>
      <c r="J8" s="155"/>
      <c r="K8" s="155"/>
      <c r="L8" s="156"/>
      <c r="M8" s="16">
        <f>M7*4</f>
        <v>4</v>
      </c>
      <c r="N8" s="9" t="s">
        <v>27</v>
      </c>
      <c r="O8" s="70"/>
      <c r="P8" s="9"/>
      <c r="Q8" s="20">
        <f>M8*110</f>
        <v>440</v>
      </c>
      <c r="R8" s="9" t="s">
        <v>8</v>
      </c>
      <c r="S8" s="151"/>
      <c r="T8" s="152"/>
      <c r="U8" s="65"/>
      <c r="V8" s="65"/>
      <c r="W8" s="65"/>
      <c r="X8" s="65"/>
      <c r="Y8" s="65"/>
      <c r="Z8" s="65"/>
      <c r="AA8" s="65"/>
      <c r="AB8" s="65"/>
      <c r="AC8" s="65"/>
      <c r="AD8" s="5"/>
      <c r="AE8" s="5"/>
      <c r="AF8" s="5"/>
      <c r="AG8" s="5"/>
      <c r="AH8" s="30"/>
      <c r="AI8" s="38"/>
      <c r="AJ8" s="28"/>
      <c r="AK8" s="27"/>
      <c r="AM8" s="57"/>
      <c r="AN8" s="57"/>
      <c r="AO8" s="57"/>
      <c r="AP8" s="57"/>
    </row>
    <row r="9" spans="1:43" s="7" customFormat="1" ht="27" customHeight="1" x14ac:dyDescent="0.3">
      <c r="A9" s="119">
        <v>3</v>
      </c>
      <c r="B9" s="58" t="s">
        <v>73</v>
      </c>
      <c r="C9" s="181" t="s">
        <v>74</v>
      </c>
      <c r="D9" s="182"/>
      <c r="E9" s="67">
        <v>200</v>
      </c>
      <c r="F9" s="60" t="s">
        <v>10</v>
      </c>
      <c r="G9" s="61"/>
      <c r="H9" s="60" t="s">
        <v>10</v>
      </c>
      <c r="I9" s="71">
        <v>1.6</v>
      </c>
      <c r="J9" s="63" t="s">
        <v>25</v>
      </c>
      <c r="K9" s="64">
        <f>135*(E9-I10*2)*I9*7.85/10^6</f>
        <v>0.32894639999999997</v>
      </c>
      <c r="L9" s="60" t="s">
        <v>26</v>
      </c>
      <c r="M9" s="67">
        <v>1</v>
      </c>
      <c r="N9" s="60" t="s">
        <v>27</v>
      </c>
      <c r="O9" s="68">
        <f>K9*M9</f>
        <v>0.32894639999999997</v>
      </c>
      <c r="P9" s="60" t="s">
        <v>26</v>
      </c>
      <c r="Q9" s="20">
        <f>IF(AND(1.6&lt;I9,I9&lt;2),$AD$4+10,IF(AND(1.4&lt;I9,I9&lt;=1.6),$AD$4+20,IF(I9&lt;=1.4,$AD$4+40,$AD$4)))*O9+M9*1200+O9*240+(E9+100)*M9*1000/1000</f>
        <v>1907.893536</v>
      </c>
      <c r="R9" s="9" t="s">
        <v>8</v>
      </c>
      <c r="S9" s="151"/>
      <c r="T9" s="152"/>
      <c r="U9" s="65"/>
      <c r="V9" s="65"/>
      <c r="W9" s="65"/>
      <c r="X9" s="65"/>
      <c r="Y9" s="65"/>
      <c r="Z9" s="65"/>
      <c r="AA9" s="65"/>
      <c r="AB9" s="65"/>
      <c r="AC9" s="65"/>
      <c r="AD9" s="5"/>
      <c r="AE9" s="5"/>
      <c r="AF9" s="5"/>
      <c r="AG9" s="5"/>
      <c r="AH9" s="30"/>
      <c r="AI9" s="45"/>
      <c r="AJ9" s="28"/>
      <c r="AK9" s="27"/>
      <c r="AL9" s="12"/>
      <c r="AM9" s="13"/>
      <c r="AN9" s="13"/>
      <c r="AO9" s="4"/>
      <c r="AP9" s="4"/>
    </row>
    <row r="10" spans="1:43" s="7" customFormat="1" ht="27" customHeight="1" x14ac:dyDescent="0.3">
      <c r="A10" s="179"/>
      <c r="B10" s="58" t="s">
        <v>75</v>
      </c>
      <c r="C10" s="61">
        <v>150</v>
      </c>
      <c r="D10" s="60" t="s">
        <v>10</v>
      </c>
      <c r="E10" s="61">
        <v>85</v>
      </c>
      <c r="F10" s="60" t="s">
        <v>10</v>
      </c>
      <c r="G10" s="61"/>
      <c r="H10" s="60" t="s">
        <v>10</v>
      </c>
      <c r="I10" s="62">
        <v>3</v>
      </c>
      <c r="J10" s="63" t="s">
        <v>25</v>
      </c>
      <c r="K10" s="64">
        <f>C10*E10*I10*7.85/10^6</f>
        <v>0.30026249999999999</v>
      </c>
      <c r="L10" s="60" t="s">
        <v>26</v>
      </c>
      <c r="M10" s="61">
        <f>M9*2</f>
        <v>2</v>
      </c>
      <c r="N10" s="60" t="s">
        <v>27</v>
      </c>
      <c r="O10" s="68">
        <f>K10*M10</f>
        <v>0.60052499999999998</v>
      </c>
      <c r="P10" s="60" t="s">
        <v>26</v>
      </c>
      <c r="Q10" s="20">
        <f>O10*IF(AND(1.6&lt;I10,I10&lt;2),$AD$4+10,IF(AND(1.4&lt;I10,I10&lt;=1.6),$AD$4+20,IF(I10&lt;=1.4,$AD$4+40,$AD$4)))+M10*(200*2+100*4)</f>
        <v>2188.5145000000002</v>
      </c>
      <c r="R10" s="9" t="s">
        <v>8</v>
      </c>
      <c r="S10" s="151"/>
      <c r="T10" s="152"/>
      <c r="U10" s="65"/>
      <c r="V10" s="12"/>
      <c r="W10" s="65"/>
      <c r="X10" s="65"/>
      <c r="Y10" s="65"/>
      <c r="Z10" s="65"/>
      <c r="AA10" s="65"/>
      <c r="AB10" s="65"/>
      <c r="AC10" s="65"/>
      <c r="AD10" s="5"/>
      <c r="AE10" s="5"/>
      <c r="AF10" s="5"/>
      <c r="AG10" s="5"/>
      <c r="AH10" s="30"/>
      <c r="AI10" s="45"/>
      <c r="AJ10" s="28"/>
      <c r="AK10" s="27"/>
      <c r="AL10" s="12"/>
    </row>
    <row r="11" spans="1:43" s="7" customFormat="1" ht="27" customHeight="1" x14ac:dyDescent="0.3">
      <c r="A11" s="180"/>
      <c r="B11" s="15" t="s">
        <v>71</v>
      </c>
      <c r="C11" s="154" t="s">
        <v>61</v>
      </c>
      <c r="D11" s="155"/>
      <c r="E11" s="155"/>
      <c r="F11" s="155"/>
      <c r="G11" s="155"/>
      <c r="H11" s="155"/>
      <c r="I11" s="155"/>
      <c r="J11" s="155"/>
      <c r="K11" s="155"/>
      <c r="L11" s="156"/>
      <c r="M11" s="16">
        <f>M10*4</f>
        <v>8</v>
      </c>
      <c r="N11" s="9" t="s">
        <v>27</v>
      </c>
      <c r="O11" s="70"/>
      <c r="P11" s="9"/>
      <c r="Q11" s="20">
        <f>M11*110</f>
        <v>880</v>
      </c>
      <c r="R11" s="9" t="s">
        <v>8</v>
      </c>
      <c r="S11" s="151"/>
      <c r="T11" s="152"/>
      <c r="U11" s="65"/>
      <c r="V11" s="12"/>
      <c r="W11" s="65"/>
      <c r="X11" s="65"/>
      <c r="Y11" s="65"/>
      <c r="Z11" s="65"/>
      <c r="AA11" s="65"/>
      <c r="AB11" s="65"/>
      <c r="AC11" s="65"/>
      <c r="AD11" s="5"/>
      <c r="AE11" s="5"/>
      <c r="AF11" s="5"/>
      <c r="AG11" s="5"/>
      <c r="AH11" s="30"/>
      <c r="AJ11" s="28"/>
      <c r="AK11" s="27"/>
      <c r="AL11" s="12"/>
    </row>
    <row r="12" spans="1:43" s="7" customFormat="1" ht="27" customHeight="1" x14ac:dyDescent="0.3">
      <c r="A12" s="119">
        <v>4</v>
      </c>
      <c r="B12" s="58" t="s">
        <v>90</v>
      </c>
      <c r="C12" s="181" t="s">
        <v>89</v>
      </c>
      <c r="D12" s="182"/>
      <c r="E12" s="67">
        <v>200</v>
      </c>
      <c r="F12" s="60" t="s">
        <v>10</v>
      </c>
      <c r="G12" s="61"/>
      <c r="H12" s="60" t="s">
        <v>10</v>
      </c>
      <c r="I12" s="71">
        <v>1.6</v>
      </c>
      <c r="J12" s="63" t="s">
        <v>25</v>
      </c>
      <c r="K12" s="64">
        <f>173*(E12-I13*2)*I12*7.85/10^6</f>
        <v>0.42153872000000003</v>
      </c>
      <c r="L12" s="60" t="s">
        <v>26</v>
      </c>
      <c r="M12" s="67">
        <v>1</v>
      </c>
      <c r="N12" s="60" t="s">
        <v>27</v>
      </c>
      <c r="O12" s="68">
        <f>K12*M12</f>
        <v>0.42153872000000003</v>
      </c>
      <c r="P12" s="60" t="s">
        <v>26</v>
      </c>
      <c r="Q12" s="20">
        <f>IF(AND(1.6&lt;I12,I12&lt;2),$AD$4+10,IF(AND(1.4&lt;I12,I12&lt;=1.6),$AD$4+20,IF(I12&lt;=1.4,$AD$4+40,$AD$4)))*O12+M12*1300+O12*240+(E12+100)*M12*1000/1000</f>
        <v>2122.7080127999998</v>
      </c>
      <c r="R12" s="9" t="s">
        <v>8</v>
      </c>
      <c r="S12" s="151"/>
      <c r="T12" s="152"/>
      <c r="U12" s="65"/>
      <c r="V12" s="39"/>
      <c r="W12" s="65"/>
      <c r="X12" s="65"/>
      <c r="Y12" s="65"/>
      <c r="Z12" s="65"/>
      <c r="AA12" s="65"/>
      <c r="AB12" s="65"/>
      <c r="AC12" s="65"/>
      <c r="AD12" s="5"/>
      <c r="AE12" s="5"/>
      <c r="AF12" s="5"/>
      <c r="AG12" s="5"/>
      <c r="AH12" s="30"/>
      <c r="AJ12" s="28"/>
      <c r="AK12" s="27"/>
      <c r="AL12" s="12"/>
    </row>
    <row r="13" spans="1:43" s="7" customFormat="1" ht="27" customHeight="1" x14ac:dyDescent="0.3">
      <c r="A13" s="179"/>
      <c r="B13" s="58" t="s">
        <v>75</v>
      </c>
      <c r="C13" s="61">
        <v>150</v>
      </c>
      <c r="D13" s="60" t="s">
        <v>10</v>
      </c>
      <c r="E13" s="61">
        <v>85</v>
      </c>
      <c r="F13" s="60" t="s">
        <v>10</v>
      </c>
      <c r="G13" s="61"/>
      <c r="H13" s="60" t="s">
        <v>10</v>
      </c>
      <c r="I13" s="62">
        <v>3</v>
      </c>
      <c r="J13" s="63" t="s">
        <v>25</v>
      </c>
      <c r="K13" s="64">
        <f>C13*E13*I13*7.85/10^6</f>
        <v>0.30026249999999999</v>
      </c>
      <c r="L13" s="60" t="s">
        <v>26</v>
      </c>
      <c r="M13" s="61">
        <f>M12*2</f>
        <v>2</v>
      </c>
      <c r="N13" s="60" t="s">
        <v>27</v>
      </c>
      <c r="O13" s="68">
        <f>K13*M13</f>
        <v>0.60052499999999998</v>
      </c>
      <c r="P13" s="60" t="s">
        <v>26</v>
      </c>
      <c r="Q13" s="20">
        <f>O13*IF(AND(1.6&lt;I13,I13&lt;2),$AD$4+10,IF(AND(1.4&lt;I13,I13&lt;=1.6),$AD$4+20,IF(I13&lt;=1.4,$AD$4+40,$AD$4)))+M13*(200*2+100*4)</f>
        <v>2188.5145000000002</v>
      </c>
      <c r="R13" s="9" t="s">
        <v>8</v>
      </c>
      <c r="S13" s="151"/>
      <c r="T13" s="152"/>
      <c r="U13" s="65"/>
      <c r="V13" s="12"/>
      <c r="W13" s="65"/>
      <c r="X13" s="65"/>
      <c r="Y13" s="65"/>
      <c r="Z13" s="65"/>
      <c r="AA13" s="65"/>
      <c r="AB13" s="65"/>
      <c r="AC13" s="65"/>
      <c r="AD13" s="5"/>
      <c r="AE13" s="5"/>
      <c r="AF13" s="5"/>
      <c r="AG13" s="5"/>
      <c r="AH13" s="30"/>
      <c r="AJ13" s="28"/>
      <c r="AK13" s="27"/>
      <c r="AL13" s="12"/>
    </row>
    <row r="14" spans="1:43" s="7" customFormat="1" ht="27" customHeight="1" x14ac:dyDescent="0.3">
      <c r="A14" s="180"/>
      <c r="B14" s="15" t="s">
        <v>71</v>
      </c>
      <c r="C14" s="154" t="s">
        <v>61</v>
      </c>
      <c r="D14" s="155"/>
      <c r="E14" s="155"/>
      <c r="F14" s="155"/>
      <c r="G14" s="155"/>
      <c r="H14" s="155"/>
      <c r="I14" s="155"/>
      <c r="J14" s="155"/>
      <c r="K14" s="155"/>
      <c r="L14" s="156"/>
      <c r="M14" s="16">
        <f>M13*4</f>
        <v>8</v>
      </c>
      <c r="N14" s="9" t="s">
        <v>27</v>
      </c>
      <c r="O14" s="70"/>
      <c r="P14" s="9"/>
      <c r="Q14" s="20">
        <f>M14*110</f>
        <v>880</v>
      </c>
      <c r="R14" s="9" t="s">
        <v>8</v>
      </c>
      <c r="S14" s="151"/>
      <c r="T14" s="152"/>
      <c r="U14" s="65"/>
      <c r="V14" s="12"/>
      <c r="W14" s="65"/>
      <c r="X14" s="65"/>
      <c r="Y14" s="65"/>
      <c r="Z14" s="65"/>
      <c r="AA14" s="65"/>
      <c r="AB14" s="65"/>
      <c r="AC14" s="65"/>
      <c r="AD14" s="5"/>
      <c r="AE14" s="5"/>
      <c r="AF14" s="5"/>
      <c r="AG14" s="5"/>
      <c r="AH14" s="30"/>
      <c r="AJ14" s="28"/>
      <c r="AK14" s="27"/>
      <c r="AL14" s="12"/>
    </row>
    <row r="15" spans="1:43" s="7" customFormat="1" ht="27" customHeight="1" x14ac:dyDescent="0.3">
      <c r="A15" s="119">
        <v>5</v>
      </c>
      <c r="B15" s="58" t="s">
        <v>76</v>
      </c>
      <c r="C15" s="181" t="s">
        <v>77</v>
      </c>
      <c r="D15" s="182"/>
      <c r="E15" s="67">
        <v>200</v>
      </c>
      <c r="F15" s="60" t="s">
        <v>10</v>
      </c>
      <c r="G15" s="61"/>
      <c r="H15" s="60" t="s">
        <v>10</v>
      </c>
      <c r="I15" s="62">
        <v>2.2999999999999998</v>
      </c>
      <c r="J15" s="63" t="s">
        <v>25</v>
      </c>
      <c r="K15" s="64">
        <f>202*(E15-I16*2)*I15*7.85/10^6</f>
        <v>0.70753933999999996</v>
      </c>
      <c r="L15" s="60" t="s">
        <v>26</v>
      </c>
      <c r="M15" s="67">
        <v>1</v>
      </c>
      <c r="N15" s="60" t="s">
        <v>27</v>
      </c>
      <c r="O15" s="68">
        <f>K15*M15</f>
        <v>0.70753933999999996</v>
      </c>
      <c r="P15" s="60" t="s">
        <v>26</v>
      </c>
      <c r="Q15" s="20">
        <f>IF(AND(1.6&lt;I15,I15&lt;2),$AD$4+10,IF(AND(1.4&lt;I15,I15&lt;=1.6),$AD$4+20,IF(I15&lt;=1.4,$AD$4+40,$AD$4)))*O15+M15*1400+O15*240+(E15+100)*M15*1000/1000</f>
        <v>2563.1979947999998</v>
      </c>
      <c r="R15" s="9" t="s">
        <v>8</v>
      </c>
      <c r="S15" s="151"/>
      <c r="T15" s="152"/>
      <c r="U15" s="65"/>
      <c r="V15" s="12"/>
      <c r="W15" s="65"/>
      <c r="X15" s="65"/>
      <c r="Y15" s="65"/>
      <c r="Z15" s="65"/>
      <c r="AA15" s="65"/>
      <c r="AB15" s="65"/>
      <c r="AC15" s="65"/>
      <c r="AD15" s="5"/>
      <c r="AE15" s="5"/>
      <c r="AF15" s="5"/>
      <c r="AG15" s="5"/>
      <c r="AH15" s="30"/>
      <c r="AJ15" s="28"/>
      <c r="AK15" s="27"/>
      <c r="AL15" s="12"/>
      <c r="AQ15" s="3"/>
    </row>
    <row r="16" spans="1:43" s="7" customFormat="1" ht="27" customHeight="1" x14ac:dyDescent="0.3">
      <c r="A16" s="179"/>
      <c r="B16" s="58" t="s">
        <v>75</v>
      </c>
      <c r="C16" s="61">
        <v>200</v>
      </c>
      <c r="D16" s="60" t="s">
        <v>10</v>
      </c>
      <c r="E16" s="61">
        <v>85</v>
      </c>
      <c r="F16" s="60" t="s">
        <v>10</v>
      </c>
      <c r="G16" s="61"/>
      <c r="H16" s="60" t="s">
        <v>10</v>
      </c>
      <c r="I16" s="62">
        <v>3</v>
      </c>
      <c r="J16" s="63" t="s">
        <v>25</v>
      </c>
      <c r="K16" s="64">
        <f>C16*E16*I16*7.85/10^6</f>
        <v>0.40034999999999998</v>
      </c>
      <c r="L16" s="60" t="s">
        <v>26</v>
      </c>
      <c r="M16" s="61">
        <f>M15*2</f>
        <v>2</v>
      </c>
      <c r="N16" s="60" t="s">
        <v>27</v>
      </c>
      <c r="O16" s="68">
        <f>K16*M16</f>
        <v>0.80069999999999997</v>
      </c>
      <c r="P16" s="60" t="s">
        <v>26</v>
      </c>
      <c r="Q16" s="20">
        <f>O16*IF(AND(1.6&lt;I16,I16&lt;2),$AD$4+10,IF(AND(1.4&lt;I16,I16&lt;=1.6),$AD$4+20,IF(I16&lt;=1.4,$AD$4+40,$AD$4)))+M16*(200*2+100*4)</f>
        <v>2384.6859999999997</v>
      </c>
      <c r="R16" s="9" t="s">
        <v>8</v>
      </c>
      <c r="S16" s="151"/>
      <c r="T16" s="152"/>
      <c r="U16" s="65"/>
      <c r="V16" s="65"/>
      <c r="W16" s="65"/>
      <c r="X16" s="65"/>
      <c r="Y16" s="65"/>
      <c r="Z16" s="65"/>
      <c r="AA16" s="65"/>
      <c r="AB16" s="65"/>
      <c r="AC16" s="65"/>
      <c r="AF16" s="5"/>
      <c r="AG16" s="5"/>
      <c r="AI16" s="38"/>
      <c r="AJ16" s="28"/>
      <c r="AK16" s="27"/>
      <c r="AL16" s="12"/>
      <c r="AM16" s="25"/>
      <c r="AN16" s="3"/>
      <c r="AO16" s="3"/>
      <c r="AP16" s="3"/>
      <c r="AQ16" s="3"/>
    </row>
    <row r="17" spans="1:43" s="7" customFormat="1" ht="27" customHeight="1" x14ac:dyDescent="0.3">
      <c r="A17" s="180"/>
      <c r="B17" s="15" t="s">
        <v>71</v>
      </c>
      <c r="C17" s="154" t="s">
        <v>61</v>
      </c>
      <c r="D17" s="155"/>
      <c r="E17" s="155"/>
      <c r="F17" s="155"/>
      <c r="G17" s="155"/>
      <c r="H17" s="155"/>
      <c r="I17" s="155"/>
      <c r="J17" s="155"/>
      <c r="K17" s="155"/>
      <c r="L17" s="156"/>
      <c r="M17" s="16">
        <f>M16*4</f>
        <v>8</v>
      </c>
      <c r="N17" s="9" t="s">
        <v>27</v>
      </c>
      <c r="O17" s="70"/>
      <c r="P17" s="9"/>
      <c r="Q17" s="20">
        <f>M17*110</f>
        <v>880</v>
      </c>
      <c r="R17" s="9" t="s">
        <v>8</v>
      </c>
      <c r="S17" s="151"/>
      <c r="T17" s="152"/>
      <c r="U17" s="65"/>
      <c r="V17" s="12"/>
      <c r="W17" s="65"/>
      <c r="X17" s="65"/>
      <c r="Y17" s="65"/>
      <c r="Z17" s="65"/>
      <c r="AA17" s="65"/>
      <c r="AB17" s="65"/>
      <c r="AC17" s="65"/>
      <c r="AF17" s="5"/>
      <c r="AG17" s="5"/>
      <c r="AI17" s="30"/>
      <c r="AJ17" s="72"/>
      <c r="AK17" s="27"/>
      <c r="AL17" s="47"/>
      <c r="AM17" s="25"/>
      <c r="AN17" s="3"/>
      <c r="AO17" s="3"/>
      <c r="AP17" s="3"/>
      <c r="AQ17" s="3"/>
    </row>
    <row r="18" spans="1:43" s="7" customFormat="1" ht="27" customHeight="1" thickBot="1" x14ac:dyDescent="0.35">
      <c r="A18" s="14">
        <v>6</v>
      </c>
      <c r="B18" s="15" t="s">
        <v>37</v>
      </c>
      <c r="C18" s="166" t="s">
        <v>31</v>
      </c>
      <c r="D18" s="167"/>
      <c r="E18" s="167"/>
      <c r="F18" s="167"/>
      <c r="G18" s="167"/>
      <c r="H18" s="167"/>
      <c r="I18" s="167"/>
      <c r="J18" s="167"/>
      <c r="K18" s="167"/>
      <c r="L18" s="168"/>
      <c r="M18" s="16"/>
      <c r="N18" s="9"/>
      <c r="O18" s="19">
        <f>SUM(O5:O17)*3%</f>
        <v>0.1338053538</v>
      </c>
      <c r="P18" s="9" t="s">
        <v>26</v>
      </c>
      <c r="Q18" s="20">
        <f>O18*$AD$4</f>
        <v>131.12924672400001</v>
      </c>
      <c r="R18" s="9" t="s">
        <v>8</v>
      </c>
      <c r="S18" s="151"/>
      <c r="T18" s="152"/>
      <c r="U18" s="65"/>
      <c r="V18" s="65"/>
      <c r="W18" s="65"/>
      <c r="X18" s="65"/>
      <c r="Y18" s="65"/>
      <c r="Z18" s="65"/>
      <c r="AA18" s="65"/>
      <c r="AB18" s="65"/>
      <c r="AC18" s="65"/>
      <c r="AD18" s="5"/>
      <c r="AE18" s="5"/>
      <c r="AF18" s="5"/>
      <c r="AG18" s="5"/>
      <c r="AH18" s="73"/>
      <c r="AI18" s="27"/>
      <c r="AJ18" s="53"/>
      <c r="AK18" s="47"/>
      <c r="AL18" s="47"/>
      <c r="AM18" s="25"/>
      <c r="AN18" s="3"/>
      <c r="AO18" s="3"/>
      <c r="AP18" s="3"/>
      <c r="AQ18" s="3"/>
    </row>
    <row r="19" spans="1:43" ht="27" customHeight="1" thickTop="1" thickBot="1" x14ac:dyDescent="0.35">
      <c r="A19" s="171" t="s">
        <v>38</v>
      </c>
      <c r="B19" s="172"/>
      <c r="C19" s="172"/>
      <c r="D19" s="172"/>
      <c r="E19" s="172"/>
      <c r="F19" s="172"/>
      <c r="G19" s="172"/>
      <c r="H19" s="172"/>
      <c r="I19" s="172"/>
      <c r="J19" s="172"/>
      <c r="K19" s="172"/>
      <c r="L19" s="173"/>
      <c r="M19" s="22">
        <f>SUM(M5:M18)</f>
        <v>43</v>
      </c>
      <c r="N19" s="23" t="s">
        <v>27</v>
      </c>
      <c r="O19" s="24">
        <f>SUM(O5:O18)</f>
        <v>4.5939838137999995</v>
      </c>
      <c r="P19" s="23" t="s">
        <v>26</v>
      </c>
      <c r="Q19" s="49">
        <f>MROUND((SUM(Q5:Q18)+SUM(Q5:Q18)*S19%),10)</f>
        <v>22820</v>
      </c>
      <c r="R19" s="50" t="s">
        <v>8</v>
      </c>
      <c r="S19" s="51">
        <v>10</v>
      </c>
      <c r="T19" s="52" t="s">
        <v>65</v>
      </c>
      <c r="U19" s="74"/>
      <c r="V19" s="74"/>
      <c r="W19" s="74"/>
      <c r="X19" s="74"/>
      <c r="Y19" s="74"/>
      <c r="Z19" s="74"/>
      <c r="AA19" s="74"/>
      <c r="AB19" s="74"/>
      <c r="AC19" s="74"/>
      <c r="AH19" s="73"/>
    </row>
    <row r="20" spans="1:43" ht="27" customHeight="1" x14ac:dyDescent="0.3">
      <c r="AH20" s="7"/>
    </row>
    <row r="24" spans="1:43" s="4" customFormat="1" ht="27" customHeight="1" x14ac:dyDescent="0.3">
      <c r="A24" s="2"/>
      <c r="B24" s="2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5"/>
      <c r="AE24" s="5"/>
      <c r="AF24" s="5"/>
      <c r="AG24" s="5"/>
      <c r="AH24" s="54"/>
      <c r="AI24" s="27"/>
      <c r="AJ24" s="53"/>
      <c r="AK24" s="47"/>
      <c r="AL24" s="47"/>
      <c r="AM24" s="25"/>
      <c r="AN24" s="3"/>
      <c r="AO24" s="3"/>
      <c r="AP24" s="3"/>
      <c r="AQ24" s="3"/>
    </row>
    <row r="25" spans="1:43" ht="27" customHeight="1" x14ac:dyDescent="0.3">
      <c r="AH25" s="54"/>
    </row>
    <row r="27" spans="1:43" ht="27" customHeight="1" x14ac:dyDescent="0.3">
      <c r="AH27" s="27"/>
    </row>
    <row r="28" spans="1:43" s="6" customFormat="1" ht="27" customHeight="1" x14ac:dyDescent="0.3">
      <c r="A28" s="2"/>
      <c r="B28" s="2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5"/>
      <c r="AE28" s="5"/>
      <c r="AF28" s="5"/>
      <c r="AG28" s="5"/>
      <c r="AH28" s="27"/>
      <c r="AI28" s="27"/>
      <c r="AJ28" s="53"/>
      <c r="AK28" s="47"/>
      <c r="AL28" s="47"/>
      <c r="AM28" s="25"/>
      <c r="AN28" s="3"/>
      <c r="AO28" s="3"/>
      <c r="AP28" s="3"/>
      <c r="AQ28" s="3"/>
    </row>
    <row r="29" spans="1:43" s="6" customFormat="1" ht="27" customHeight="1" x14ac:dyDescent="0.3">
      <c r="A29" s="2"/>
      <c r="B29" s="2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5"/>
      <c r="AE29" s="5"/>
      <c r="AF29" s="5"/>
      <c r="AG29" s="5"/>
      <c r="AH29" s="27"/>
      <c r="AI29" s="27"/>
      <c r="AJ29" s="53"/>
      <c r="AK29" s="47"/>
      <c r="AL29" s="47"/>
      <c r="AM29" s="25"/>
      <c r="AN29" s="3"/>
      <c r="AO29" s="3"/>
      <c r="AP29" s="3"/>
      <c r="AQ29" s="3"/>
    </row>
    <row r="30" spans="1:43" s="6" customFormat="1" ht="27" customHeight="1" x14ac:dyDescent="0.3">
      <c r="A30" s="2"/>
      <c r="B30" s="2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5"/>
      <c r="AE30" s="5"/>
      <c r="AF30" s="5"/>
      <c r="AG30" s="5"/>
      <c r="AH30" s="27"/>
      <c r="AI30" s="27"/>
      <c r="AJ30" s="53"/>
      <c r="AK30" s="47"/>
      <c r="AL30" s="47"/>
      <c r="AM30" s="25"/>
      <c r="AN30" s="3"/>
      <c r="AO30" s="3"/>
      <c r="AP30" s="3"/>
      <c r="AQ30" s="3"/>
    </row>
    <row r="31" spans="1:43" s="6" customFormat="1" ht="27" customHeight="1" x14ac:dyDescent="0.3">
      <c r="A31" s="2"/>
      <c r="B31" s="2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5"/>
      <c r="AE31" s="5"/>
      <c r="AF31" s="5"/>
      <c r="AG31" s="5"/>
      <c r="AH31" s="27"/>
      <c r="AI31" s="27"/>
      <c r="AJ31" s="53"/>
      <c r="AK31" s="47"/>
      <c r="AL31" s="47"/>
      <c r="AM31" s="25"/>
      <c r="AN31" s="3"/>
      <c r="AO31" s="3"/>
      <c r="AP31" s="3"/>
      <c r="AQ31" s="3"/>
    </row>
    <row r="32" spans="1:43" s="6" customFormat="1" ht="27" customHeight="1" x14ac:dyDescent="0.3">
      <c r="A32" s="2"/>
      <c r="B32" s="2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5"/>
      <c r="AE32" s="5"/>
      <c r="AF32" s="5"/>
      <c r="AG32" s="5"/>
      <c r="AH32" s="27"/>
      <c r="AI32" s="27"/>
      <c r="AJ32" s="53"/>
      <c r="AK32" s="47"/>
      <c r="AL32" s="47"/>
      <c r="AM32" s="25"/>
      <c r="AN32" s="3"/>
      <c r="AO32" s="3"/>
      <c r="AP32" s="3"/>
      <c r="AQ32" s="3"/>
    </row>
    <row r="33" spans="1:43" s="6" customFormat="1" ht="27" customHeight="1" x14ac:dyDescent="0.3">
      <c r="A33" s="2"/>
      <c r="B33" s="2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5"/>
      <c r="AE33" s="5"/>
      <c r="AF33" s="5"/>
      <c r="AG33" s="5"/>
      <c r="AH33" s="5"/>
      <c r="AI33" s="27"/>
      <c r="AJ33" s="53"/>
      <c r="AK33" s="47"/>
      <c r="AL33" s="47"/>
      <c r="AM33" s="25"/>
      <c r="AN33" s="3"/>
      <c r="AO33" s="3"/>
      <c r="AP33" s="3"/>
      <c r="AQ33" s="3"/>
    </row>
  </sheetData>
  <mergeCells count="41">
    <mergeCell ref="A3:A4"/>
    <mergeCell ref="B3:B4"/>
    <mergeCell ref="C3:H3"/>
    <mergeCell ref="I3:J4"/>
    <mergeCell ref="K3:L4"/>
    <mergeCell ref="O3:P4"/>
    <mergeCell ref="Q3:R4"/>
    <mergeCell ref="S3:T4"/>
    <mergeCell ref="C4:D4"/>
    <mergeCell ref="E4:F4"/>
    <mergeCell ref="G4:H4"/>
    <mergeCell ref="M3:N4"/>
    <mergeCell ref="A5:A6"/>
    <mergeCell ref="S5:T5"/>
    <mergeCell ref="C6:L6"/>
    <mergeCell ref="S6:T6"/>
    <mergeCell ref="A7:A8"/>
    <mergeCell ref="S7:T7"/>
    <mergeCell ref="C8:L8"/>
    <mergeCell ref="S8:T8"/>
    <mergeCell ref="A9:A11"/>
    <mergeCell ref="C9:D9"/>
    <mergeCell ref="S9:T9"/>
    <mergeCell ref="S10:T10"/>
    <mergeCell ref="C11:L11"/>
    <mergeCell ref="S11:T11"/>
    <mergeCell ref="A12:A14"/>
    <mergeCell ref="C12:D12"/>
    <mergeCell ref="S12:T12"/>
    <mergeCell ref="S13:T13"/>
    <mergeCell ref="C14:L14"/>
    <mergeCell ref="S14:T14"/>
    <mergeCell ref="C18:L18"/>
    <mergeCell ref="S18:T18"/>
    <mergeCell ref="A19:L19"/>
    <mergeCell ref="A15:A17"/>
    <mergeCell ref="C15:D15"/>
    <mergeCell ref="S15:T15"/>
    <mergeCell ref="S16:T16"/>
    <mergeCell ref="C17:L17"/>
    <mergeCell ref="S17:T17"/>
  </mergeCells>
  <phoneticPr fontId="3" type="noConversion"/>
  <printOptions horizontalCentered="1" verticalCentered="1"/>
  <pageMargins left="0.19685039370078741" right="0.19685039370078741" top="0.55118110236220474" bottom="0.35433070866141736" header="0.11811023622047245" footer="0.11811023622047245"/>
  <pageSetup paperSize="9" scale="93" orientation="landscape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7ACD1-FCDE-40FC-A17A-218AF152FAC4}">
  <sheetPr>
    <pageSetUpPr fitToPage="1"/>
  </sheetPr>
  <dimension ref="A1:AG34"/>
  <sheetViews>
    <sheetView view="pageBreakPreview" zoomScale="90" zoomScaleNormal="85" zoomScaleSheetLayoutView="90" zoomScalePageLayoutView="55" workbookViewId="0">
      <selection activeCell="W12" sqref="W12"/>
    </sheetView>
  </sheetViews>
  <sheetFormatPr defaultColWidth="9" defaultRowHeight="36.75" customHeight="1" x14ac:dyDescent="0.3"/>
  <cols>
    <col min="1" max="1" width="6.375" style="2" customWidth="1"/>
    <col min="2" max="3" width="8.25" style="2" customWidth="1"/>
    <col min="4" max="4" width="6.75" style="3" customWidth="1"/>
    <col min="5" max="5" width="4.375" style="3" customWidth="1"/>
    <col min="6" max="6" width="6.75" style="3" customWidth="1"/>
    <col min="7" max="7" width="4.375" style="3" customWidth="1"/>
    <col min="8" max="8" width="6.75" style="3" customWidth="1"/>
    <col min="9" max="9" width="4.375" style="3" customWidth="1"/>
    <col min="10" max="10" width="6.5" style="3" customWidth="1"/>
    <col min="11" max="11" width="4.375" style="3" customWidth="1"/>
    <col min="12" max="12" width="6.5" style="3" customWidth="1"/>
    <col min="13" max="13" width="5.25" style="3" customWidth="1"/>
    <col min="14" max="14" width="9" style="3" customWidth="1"/>
    <col min="15" max="15" width="4.375" style="3" customWidth="1"/>
    <col min="16" max="16" width="9" style="3" customWidth="1"/>
    <col min="17" max="17" width="4.375" style="3" customWidth="1"/>
    <col min="18" max="18" width="12.875" style="3" customWidth="1"/>
    <col min="19" max="19" width="4.375" style="3" customWidth="1"/>
    <col min="20" max="21" width="14.875" style="3" customWidth="1"/>
    <col min="22" max="22" width="9.5" style="5" customWidth="1"/>
    <col min="23" max="23" width="12.125" style="25" customWidth="1"/>
    <col min="24" max="26" width="12.125" style="3" customWidth="1"/>
    <col min="27" max="32" width="9" style="3"/>
    <col min="33" max="33" width="9" style="3" hidden="1" customWidth="1"/>
    <col min="34" max="34" width="9" style="3" customWidth="1"/>
    <col min="35" max="16384" width="9" style="3"/>
  </cols>
  <sheetData>
    <row r="1" spans="1:33" s="5" customFormat="1" ht="36.75" customHeight="1" x14ac:dyDescent="0.3">
      <c r="A1" s="116" t="s">
        <v>152</v>
      </c>
      <c r="B1" s="1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W1" s="4"/>
    </row>
    <row r="2" spans="1:33" s="5" customFormat="1" ht="27.75" customHeight="1" thickBot="1" x14ac:dyDescent="0.35">
      <c r="A2" s="1"/>
      <c r="B2" s="1"/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W2" s="39" t="s">
        <v>110</v>
      </c>
      <c r="AA2" s="39"/>
    </row>
    <row r="3" spans="1:33" s="7" customFormat="1" ht="36.75" customHeight="1" x14ac:dyDescent="0.3">
      <c r="A3" s="133" t="s">
        <v>0</v>
      </c>
      <c r="B3" s="134"/>
      <c r="C3" s="135"/>
      <c r="D3" s="136" t="s">
        <v>1</v>
      </c>
      <c r="E3" s="135"/>
      <c r="F3" s="137" t="s">
        <v>2</v>
      </c>
      <c r="G3" s="135"/>
      <c r="H3" s="137" t="s">
        <v>3</v>
      </c>
      <c r="I3" s="135"/>
      <c r="J3" s="138" t="s">
        <v>120</v>
      </c>
      <c r="K3" s="139"/>
      <c r="L3" s="140" t="s">
        <v>4</v>
      </c>
      <c r="M3" s="139"/>
      <c r="N3" s="140" t="s">
        <v>5</v>
      </c>
      <c r="O3" s="141"/>
      <c r="P3" s="140" t="s">
        <v>6</v>
      </c>
      <c r="Q3" s="141"/>
      <c r="R3" s="117" t="s">
        <v>7</v>
      </c>
      <c r="S3" s="206"/>
      <c r="T3" s="206"/>
      <c r="U3" s="118"/>
      <c r="W3" s="39" t="s">
        <v>106</v>
      </c>
      <c r="AA3" s="39"/>
      <c r="AG3" s="115">
        <v>980</v>
      </c>
    </row>
    <row r="4" spans="1:33" s="7" customFormat="1" ht="36.75" customHeight="1" x14ac:dyDescent="0.3">
      <c r="A4" s="129" t="s">
        <v>122</v>
      </c>
      <c r="B4" s="130"/>
      <c r="C4" s="127"/>
      <c r="D4" s="8">
        <v>1200</v>
      </c>
      <c r="E4" s="9" t="s">
        <v>10</v>
      </c>
      <c r="F4" s="8">
        <v>600</v>
      </c>
      <c r="G4" s="9" t="s">
        <v>10</v>
      </c>
      <c r="H4" s="8">
        <v>2100</v>
      </c>
      <c r="I4" s="9" t="s">
        <v>10</v>
      </c>
      <c r="J4" s="10">
        <v>4</v>
      </c>
      <c r="K4" s="11" t="s">
        <v>11</v>
      </c>
      <c r="L4" s="10">
        <v>2</v>
      </c>
      <c r="M4" s="11" t="s">
        <v>12</v>
      </c>
      <c r="N4" s="10">
        <v>1</v>
      </c>
      <c r="O4" s="9" t="s">
        <v>13</v>
      </c>
      <c r="P4" s="10">
        <v>1</v>
      </c>
      <c r="Q4" s="9" t="s">
        <v>13</v>
      </c>
      <c r="R4" s="207" t="s">
        <v>14</v>
      </c>
      <c r="S4" s="208"/>
      <c r="T4" s="208"/>
      <c r="U4" s="209"/>
      <c r="W4" s="39" t="s">
        <v>107</v>
      </c>
      <c r="AA4" s="39"/>
    </row>
    <row r="5" spans="1:33" s="7" customFormat="1" ht="36.75" customHeight="1" x14ac:dyDescent="0.3">
      <c r="A5" s="119" t="s">
        <v>16</v>
      </c>
      <c r="B5" s="121" t="s">
        <v>17</v>
      </c>
      <c r="C5" s="122"/>
      <c r="D5" s="125" t="s">
        <v>18</v>
      </c>
      <c r="E5" s="126"/>
      <c r="F5" s="126"/>
      <c r="G5" s="126"/>
      <c r="H5" s="126"/>
      <c r="I5" s="127"/>
      <c r="J5" s="121" t="s">
        <v>19</v>
      </c>
      <c r="K5" s="122"/>
      <c r="L5" s="128" t="s">
        <v>20</v>
      </c>
      <c r="M5" s="203"/>
      <c r="N5" s="121" t="s">
        <v>21</v>
      </c>
      <c r="O5" s="145"/>
      <c r="P5" s="128" t="s">
        <v>22</v>
      </c>
      <c r="Q5" s="203"/>
      <c r="R5" s="128" t="s">
        <v>23</v>
      </c>
      <c r="S5" s="145"/>
      <c r="T5" s="128" t="s">
        <v>47</v>
      </c>
      <c r="U5" s="148"/>
      <c r="W5" s="39" t="s">
        <v>145</v>
      </c>
      <c r="AA5" s="39"/>
    </row>
    <row r="6" spans="1:33" s="7" customFormat="1" ht="36.75" customHeight="1" x14ac:dyDescent="0.3">
      <c r="A6" s="120"/>
      <c r="B6" s="123"/>
      <c r="C6" s="124"/>
      <c r="D6" s="150" t="s">
        <v>1</v>
      </c>
      <c r="E6" s="127"/>
      <c r="F6" s="125" t="s">
        <v>2</v>
      </c>
      <c r="G6" s="127"/>
      <c r="H6" s="125" t="s">
        <v>3</v>
      </c>
      <c r="I6" s="127"/>
      <c r="J6" s="123"/>
      <c r="K6" s="124"/>
      <c r="L6" s="204"/>
      <c r="M6" s="205"/>
      <c r="N6" s="146"/>
      <c r="O6" s="147"/>
      <c r="P6" s="204"/>
      <c r="Q6" s="205"/>
      <c r="R6" s="146"/>
      <c r="S6" s="147"/>
      <c r="T6" s="146"/>
      <c r="U6" s="149"/>
      <c r="W6" s="39" t="s">
        <v>130</v>
      </c>
      <c r="AA6" s="55"/>
    </row>
    <row r="7" spans="1:33" s="7" customFormat="1" ht="36.75" customHeight="1" x14ac:dyDescent="0.3">
      <c r="A7" s="14">
        <v>1</v>
      </c>
      <c r="B7" s="199" t="s">
        <v>141</v>
      </c>
      <c r="C7" s="200"/>
      <c r="D7" s="16"/>
      <c r="E7" s="9" t="s">
        <v>10</v>
      </c>
      <c r="F7" s="16"/>
      <c r="G7" s="9" t="s">
        <v>10</v>
      </c>
      <c r="H7" s="16">
        <f>H4</f>
        <v>2100</v>
      </c>
      <c r="I7" s="9" t="s">
        <v>10</v>
      </c>
      <c r="J7" s="17">
        <v>1.6</v>
      </c>
      <c r="K7" s="94" t="s">
        <v>25</v>
      </c>
      <c r="L7" s="18">
        <f>159*H7*J7*7.85/10^6</f>
        <v>4.193784</v>
      </c>
      <c r="M7" s="9" t="s">
        <v>26</v>
      </c>
      <c r="N7" s="16">
        <f>N4*4+P4*2</f>
        <v>6</v>
      </c>
      <c r="O7" s="9" t="s">
        <v>27</v>
      </c>
      <c r="P7" s="98">
        <f t="shared" ref="P7" si="0">L7*N7</f>
        <v>25.162703999999998</v>
      </c>
      <c r="Q7" s="9" t="s">
        <v>26</v>
      </c>
      <c r="R7" s="101">
        <f>IF(AND(1.6&lt;J7,J7&lt;2),$AG$3+10,IF(AND(1.4&lt;J7,J7&lt;=1.6),$AG$3+20,IF(J7&lt;=1.4,$AG$3+40,$AG$3)))*P7+P7*364+IF(H7&lt;8800,600,1100)*H7/1000*N7</f>
        <v>41881.928255999999</v>
      </c>
      <c r="S7" s="9" t="s">
        <v>8</v>
      </c>
      <c r="T7" s="201" t="s">
        <v>142</v>
      </c>
      <c r="U7" s="202"/>
      <c r="W7" s="55" t="s">
        <v>15</v>
      </c>
      <c r="AA7" s="39"/>
    </row>
    <row r="8" spans="1:33" s="7" customFormat="1" ht="36.75" customHeight="1" x14ac:dyDescent="0.3">
      <c r="A8" s="14">
        <v>2</v>
      </c>
      <c r="B8" s="177" t="s">
        <v>28</v>
      </c>
      <c r="C8" s="178"/>
      <c r="D8" s="16">
        <f>D4-64</f>
        <v>1136</v>
      </c>
      <c r="E8" s="60" t="s">
        <v>10</v>
      </c>
      <c r="F8" s="16">
        <f>F4-19</f>
        <v>581</v>
      </c>
      <c r="G8" s="60" t="s">
        <v>10</v>
      </c>
      <c r="H8" s="61">
        <v>40</v>
      </c>
      <c r="I8" s="60" t="s">
        <v>10</v>
      </c>
      <c r="J8" s="17">
        <v>0.8</v>
      </c>
      <c r="K8" s="60" t="s">
        <v>25</v>
      </c>
      <c r="L8" s="62">
        <f>(D8+80-4)*(F8+110)*J8*7.85/1000000</f>
        <v>5.2594497600000008</v>
      </c>
      <c r="M8" s="63" t="s">
        <v>26</v>
      </c>
      <c r="N8" s="16">
        <f>(N4+P4)*(J4)</f>
        <v>8</v>
      </c>
      <c r="O8" s="60" t="s">
        <v>27</v>
      </c>
      <c r="P8" s="64">
        <f>L8*N8</f>
        <v>42.075598080000006</v>
      </c>
      <c r="Q8" s="60" t="s">
        <v>26</v>
      </c>
      <c r="R8" s="101">
        <f>(IF(J8&lt;1,$AG$3+20,$AG$3)+40)*P8+P8*362+((D8+64)*(F8+19))/90000*N8*360</f>
        <v>82029.988508160008</v>
      </c>
      <c r="S8" s="9" t="s">
        <v>8</v>
      </c>
      <c r="T8" s="154"/>
      <c r="U8" s="192"/>
      <c r="W8" s="39" t="s">
        <v>136</v>
      </c>
      <c r="AA8" s="39"/>
    </row>
    <row r="9" spans="1:33" s="7" customFormat="1" ht="36.75" customHeight="1" x14ac:dyDescent="0.3">
      <c r="A9" s="14">
        <v>3</v>
      </c>
      <c r="B9" s="177" t="s">
        <v>29</v>
      </c>
      <c r="C9" s="178"/>
      <c r="D9" s="61">
        <f>D8-15</f>
        <v>1121</v>
      </c>
      <c r="E9" s="60" t="s">
        <v>10</v>
      </c>
      <c r="F9" s="61"/>
      <c r="G9" s="60" t="s">
        <v>10</v>
      </c>
      <c r="H9" s="61"/>
      <c r="I9" s="60" t="s">
        <v>10</v>
      </c>
      <c r="J9" s="17">
        <f>J8</f>
        <v>0.8</v>
      </c>
      <c r="K9" s="60" t="s">
        <v>25</v>
      </c>
      <c r="L9" s="62">
        <f>D9*135*J9*7.85/1000000</f>
        <v>0.95038379999999989</v>
      </c>
      <c r="M9" s="63" t="s">
        <v>26</v>
      </c>
      <c r="N9" s="16">
        <f>N8*L4</f>
        <v>16</v>
      </c>
      <c r="O9" s="60" t="s">
        <v>27</v>
      </c>
      <c r="P9" s="64">
        <f>L9*N9</f>
        <v>15.206140799999998</v>
      </c>
      <c r="Q9" s="60" t="s">
        <v>26</v>
      </c>
      <c r="R9" s="101">
        <f>(IF(J9&lt;1,$AG$3+20,$AG$3)+40)*P9+P9*362</f>
        <v>21319.009401599997</v>
      </c>
      <c r="S9" s="9" t="s">
        <v>8</v>
      </c>
      <c r="T9" s="154"/>
      <c r="U9" s="192"/>
      <c r="W9" s="39" t="s">
        <v>137</v>
      </c>
      <c r="AA9" s="39"/>
    </row>
    <row r="10" spans="1:33" s="7" customFormat="1" ht="36.75" customHeight="1" x14ac:dyDescent="0.3">
      <c r="A10" s="14">
        <v>4</v>
      </c>
      <c r="B10" s="193" t="s">
        <v>125</v>
      </c>
      <c r="C10" s="194"/>
      <c r="D10" s="16">
        <f>D4-4</f>
        <v>1196</v>
      </c>
      <c r="E10" s="9" t="s">
        <v>10</v>
      </c>
      <c r="F10" s="16"/>
      <c r="G10" s="9" t="s">
        <v>10</v>
      </c>
      <c r="H10" s="16"/>
      <c r="I10" s="9" t="s">
        <v>10</v>
      </c>
      <c r="J10" s="17">
        <v>1.6</v>
      </c>
      <c r="K10" s="94" t="s">
        <v>25</v>
      </c>
      <c r="L10" s="18">
        <f>112*D10*J10*7.85/10^6</f>
        <v>1.6824371200000001</v>
      </c>
      <c r="M10" s="9" t="s">
        <v>26</v>
      </c>
      <c r="N10" s="16">
        <f>(N4+P4)*4</f>
        <v>8</v>
      </c>
      <c r="O10" s="9" t="s">
        <v>27</v>
      </c>
      <c r="P10" s="19">
        <f t="shared" ref="P10" si="1">L10*N10</f>
        <v>13.459496960000001</v>
      </c>
      <c r="Q10" s="9" t="s">
        <v>26</v>
      </c>
      <c r="R10" s="101">
        <f>(IF(J10&lt;1,$AG$3+20,$AG$3)+40)*P10+P10*362+(D10+4)/1000*600*N10</f>
        <v>24361.024798720002</v>
      </c>
      <c r="S10" s="9" t="s">
        <v>8</v>
      </c>
      <c r="T10" s="195"/>
      <c r="U10" s="196"/>
      <c r="W10" s="39" t="s">
        <v>138</v>
      </c>
      <c r="AA10" s="39"/>
    </row>
    <row r="11" spans="1:33" s="7" customFormat="1" ht="36.75" customHeight="1" x14ac:dyDescent="0.3">
      <c r="A11" s="14">
        <v>5</v>
      </c>
      <c r="B11" s="193" t="s">
        <v>126</v>
      </c>
      <c r="C11" s="194"/>
      <c r="D11" s="16"/>
      <c r="E11" s="9" t="s">
        <v>10</v>
      </c>
      <c r="F11" s="16">
        <f>F4-18</f>
        <v>582</v>
      </c>
      <c r="G11" s="9" t="s">
        <v>10</v>
      </c>
      <c r="H11" s="16"/>
      <c r="I11" s="9" t="s">
        <v>10</v>
      </c>
      <c r="J11" s="17">
        <v>1.6</v>
      </c>
      <c r="K11" s="94" t="s">
        <v>25</v>
      </c>
      <c r="L11" s="18">
        <f>F11*130*J11*7.85/10^6</f>
        <v>0.95028959999999996</v>
      </c>
      <c r="M11" s="9" t="s">
        <v>26</v>
      </c>
      <c r="N11" s="16">
        <f>(N4+P4)*2</f>
        <v>4</v>
      </c>
      <c r="O11" s="9" t="s">
        <v>27</v>
      </c>
      <c r="P11" s="19">
        <f>L11*N11</f>
        <v>3.8011583999999998</v>
      </c>
      <c r="Q11" s="9" t="s">
        <v>26</v>
      </c>
      <c r="R11" s="101">
        <f>IF(AND(1.6&lt;J11,J11&lt;2),$AG$3+10,IF(AND(1.4&lt;J11,J11&lt;=1.6),$AG$3+20,IF(J11&lt;=1.4,$AG$3+40,$AG$3)))*P11+P11*364+(F11+18)/1000*550*N11</f>
        <v>6504.7800576</v>
      </c>
      <c r="S11" s="9" t="s">
        <v>8</v>
      </c>
      <c r="T11" s="195"/>
      <c r="U11" s="196"/>
      <c r="W11" s="55" t="s">
        <v>140</v>
      </c>
      <c r="AA11" s="39"/>
    </row>
    <row r="12" spans="1:33" s="7" customFormat="1" ht="36.75" customHeight="1" x14ac:dyDescent="0.3">
      <c r="A12" s="14">
        <v>6</v>
      </c>
      <c r="B12" s="193" t="s">
        <v>30</v>
      </c>
      <c r="C12" s="194"/>
      <c r="D12" s="16"/>
      <c r="E12" s="9" t="s">
        <v>10</v>
      </c>
      <c r="F12" s="16">
        <f>F4+15</f>
        <v>615</v>
      </c>
      <c r="G12" s="9" t="s">
        <v>10</v>
      </c>
      <c r="H12" s="16"/>
      <c r="I12" s="9" t="s">
        <v>10</v>
      </c>
      <c r="J12" s="17">
        <v>1.6</v>
      </c>
      <c r="K12" s="94" t="s">
        <v>25</v>
      </c>
      <c r="L12" s="18">
        <f>F12*112*J12*7.85/10^6</f>
        <v>0.86513279999999992</v>
      </c>
      <c r="M12" s="9" t="s">
        <v>26</v>
      </c>
      <c r="N12" s="16">
        <f>(N4+P4)*J4*2-N11</f>
        <v>12</v>
      </c>
      <c r="O12" s="9" t="s">
        <v>27</v>
      </c>
      <c r="P12" s="19">
        <f>L12*N12</f>
        <v>10.381593599999999</v>
      </c>
      <c r="Q12" s="9" t="s">
        <v>26</v>
      </c>
      <c r="R12" s="101">
        <f>IF(AND(1.6&lt;J12,J12&lt;2),$AG$3+10,IF(AND(1.4&lt;J12,J12&lt;=1.6),$AG$3+20,IF(J12&lt;=1.4,$AG$3+40,$AG$3)))*P12+P12*364+(F12-15)/1000*550*N12</f>
        <v>18120.493670399999</v>
      </c>
      <c r="S12" s="9" t="s">
        <v>8</v>
      </c>
      <c r="T12" s="197"/>
      <c r="U12" s="198"/>
      <c r="W12" s="55" t="s">
        <v>139</v>
      </c>
      <c r="AA12" s="55"/>
    </row>
    <row r="13" spans="1:33" s="7" customFormat="1" ht="36.75" customHeight="1" x14ac:dyDescent="0.3">
      <c r="A13" s="14">
        <v>7</v>
      </c>
      <c r="B13" s="125" t="s">
        <v>121</v>
      </c>
      <c r="C13" s="142"/>
      <c r="D13" s="154" t="s">
        <v>31</v>
      </c>
      <c r="E13" s="155"/>
      <c r="F13" s="155"/>
      <c r="G13" s="155"/>
      <c r="H13" s="155"/>
      <c r="I13" s="155"/>
      <c r="J13" s="155"/>
      <c r="K13" s="155"/>
      <c r="L13" s="155"/>
      <c r="M13" s="156"/>
      <c r="N13" s="16">
        <f>N7</f>
        <v>6</v>
      </c>
      <c r="O13" s="9" t="s">
        <v>27</v>
      </c>
      <c r="P13" s="19"/>
      <c r="Q13" s="9"/>
      <c r="R13" s="20">
        <f>N13*150</f>
        <v>900</v>
      </c>
      <c r="S13" s="9" t="s">
        <v>8</v>
      </c>
      <c r="T13" s="154"/>
      <c r="U13" s="192"/>
      <c r="W13" s="21" t="s">
        <v>32</v>
      </c>
      <c r="X13" s="21" t="s">
        <v>33</v>
      </c>
      <c r="Y13" s="21" t="s">
        <v>34</v>
      </c>
      <c r="Z13" s="21" t="s">
        <v>35</v>
      </c>
    </row>
    <row r="14" spans="1:33" s="7" customFormat="1" ht="36.75" customHeight="1" x14ac:dyDescent="0.3">
      <c r="A14" s="14">
        <v>8</v>
      </c>
      <c r="B14" s="125" t="s">
        <v>36</v>
      </c>
      <c r="C14" s="142"/>
      <c r="D14" s="154" t="s">
        <v>31</v>
      </c>
      <c r="E14" s="155"/>
      <c r="F14" s="155"/>
      <c r="G14" s="155"/>
      <c r="H14" s="155"/>
      <c r="I14" s="155"/>
      <c r="J14" s="155"/>
      <c r="K14" s="155"/>
      <c r="L14" s="155"/>
      <c r="M14" s="156"/>
      <c r="N14" s="16">
        <f>N10*2</f>
        <v>16</v>
      </c>
      <c r="O14" s="9" t="s">
        <v>27</v>
      </c>
      <c r="P14" s="19"/>
      <c r="Q14" s="9"/>
      <c r="R14" s="20">
        <f>N14*110</f>
        <v>1760</v>
      </c>
      <c r="S14" s="9" t="s">
        <v>8</v>
      </c>
      <c r="T14" s="154"/>
      <c r="U14" s="192"/>
      <c r="W14" s="21" t="s">
        <v>5</v>
      </c>
      <c r="X14" s="21">
        <f>N4</f>
        <v>1</v>
      </c>
      <c r="Y14" s="21"/>
      <c r="Z14" s="21">
        <f>X14*Y14</f>
        <v>0</v>
      </c>
    </row>
    <row r="15" spans="1:33" s="7" customFormat="1" ht="36.75" customHeight="1" thickBot="1" x14ac:dyDescent="0.35">
      <c r="A15" s="14">
        <v>9</v>
      </c>
      <c r="B15" s="164" t="s">
        <v>37</v>
      </c>
      <c r="C15" s="165"/>
      <c r="D15" s="166" t="s">
        <v>31</v>
      </c>
      <c r="E15" s="167"/>
      <c r="F15" s="167"/>
      <c r="G15" s="167"/>
      <c r="H15" s="167"/>
      <c r="I15" s="167"/>
      <c r="J15" s="167"/>
      <c r="K15" s="167"/>
      <c r="L15" s="167"/>
      <c r="M15" s="168"/>
      <c r="N15" s="16"/>
      <c r="O15" s="9"/>
      <c r="P15" s="99">
        <f>SUM(P7:P14)*3%</f>
        <v>3.3026007552000003</v>
      </c>
      <c r="Q15" s="9" t="s">
        <v>26</v>
      </c>
      <c r="R15" s="101">
        <f>$AG$3*P15</f>
        <v>3236.5487400960001</v>
      </c>
      <c r="S15" s="9" t="s">
        <v>8</v>
      </c>
      <c r="T15" s="154"/>
      <c r="U15" s="192"/>
      <c r="W15" s="21" t="s">
        <v>6</v>
      </c>
      <c r="X15" s="21">
        <f>P4</f>
        <v>1</v>
      </c>
      <c r="Y15" s="21"/>
      <c r="Z15" s="21">
        <f>X15*Y15</f>
        <v>0</v>
      </c>
    </row>
    <row r="16" spans="1:33" s="7" customFormat="1" ht="36.75" customHeight="1" thickTop="1" thickBot="1" x14ac:dyDescent="0.35">
      <c r="A16" s="171" t="s">
        <v>38</v>
      </c>
      <c r="B16" s="172"/>
      <c r="C16" s="172"/>
      <c r="D16" s="172"/>
      <c r="E16" s="172"/>
      <c r="F16" s="172"/>
      <c r="G16" s="172"/>
      <c r="H16" s="172"/>
      <c r="I16" s="172"/>
      <c r="J16" s="172"/>
      <c r="K16" s="172"/>
      <c r="L16" s="172"/>
      <c r="M16" s="173"/>
      <c r="N16" s="22">
        <f>SUM(N7:N14)</f>
        <v>76</v>
      </c>
      <c r="O16" s="23" t="s">
        <v>27</v>
      </c>
      <c r="P16" s="100">
        <f>SUM(P7:P15)</f>
        <v>113.38929259520002</v>
      </c>
      <c r="Q16" s="23" t="s">
        <v>26</v>
      </c>
      <c r="R16" s="49">
        <f>MROUND((SUM(R7:R15)+SUM(R7:R15)*T16%),10)</f>
        <v>220130</v>
      </c>
      <c r="S16" s="50" t="s">
        <v>8</v>
      </c>
      <c r="T16" s="51">
        <v>10</v>
      </c>
      <c r="U16" s="52" t="s">
        <v>65</v>
      </c>
      <c r="W16" s="174" t="s">
        <v>39</v>
      </c>
      <c r="X16" s="175"/>
      <c r="Y16" s="176"/>
      <c r="Z16" s="21">
        <f>SUM(Z14:Z15)</f>
        <v>0</v>
      </c>
    </row>
    <row r="17" spans="1:25" s="6" customFormat="1" ht="36.75" customHeight="1" x14ac:dyDescent="0.3">
      <c r="A17" s="2"/>
      <c r="B17" s="2"/>
      <c r="C17" s="2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W17" s="7"/>
    </row>
    <row r="18" spans="1:25" s="6" customFormat="1" ht="36.75" customHeight="1" x14ac:dyDescent="0.3">
      <c r="A18" s="2"/>
      <c r="B18" s="2"/>
      <c r="C18" s="2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W18" s="7"/>
    </row>
    <row r="19" spans="1:25" s="6" customFormat="1" ht="36.75" customHeight="1" x14ac:dyDescent="0.3">
      <c r="A19" s="2"/>
      <c r="B19" s="2"/>
      <c r="C19" s="2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W19" s="7"/>
    </row>
    <row r="20" spans="1:25" s="6" customFormat="1" ht="36.75" customHeight="1" x14ac:dyDescent="0.3">
      <c r="A20" s="2"/>
      <c r="B20" s="2"/>
      <c r="C20" s="2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W20" s="7"/>
      <c r="X20" s="3"/>
    </row>
    <row r="21" spans="1:25" ht="36.75" customHeight="1" x14ac:dyDescent="0.3">
      <c r="W21" s="7"/>
      <c r="Y21" s="6"/>
    </row>
    <row r="22" spans="1:25" ht="36.75" customHeight="1" x14ac:dyDescent="0.3">
      <c r="W22" s="7"/>
    </row>
    <row r="23" spans="1:25" ht="36.75" customHeight="1" x14ac:dyDescent="0.3">
      <c r="W23" s="7"/>
    </row>
    <row r="24" spans="1:25" ht="36.75" customHeight="1" x14ac:dyDescent="0.3">
      <c r="W24" s="7"/>
    </row>
    <row r="25" spans="1:25" ht="36.75" customHeight="1" x14ac:dyDescent="0.3">
      <c r="W25" s="7"/>
    </row>
    <row r="26" spans="1:25" ht="36.75" customHeight="1" x14ac:dyDescent="0.3">
      <c r="W26" s="7"/>
    </row>
    <row r="27" spans="1:25" ht="36.75" customHeight="1" x14ac:dyDescent="0.3">
      <c r="W27" s="7"/>
    </row>
    <row r="28" spans="1:25" ht="36.75" customHeight="1" x14ac:dyDescent="0.3">
      <c r="W28" s="7"/>
    </row>
    <row r="29" spans="1:25" ht="36.75" customHeight="1" x14ac:dyDescent="0.3">
      <c r="W29" s="7"/>
    </row>
    <row r="30" spans="1:25" ht="36.75" customHeight="1" x14ac:dyDescent="0.3">
      <c r="W30" s="7"/>
    </row>
    <row r="31" spans="1:25" ht="36.75" customHeight="1" x14ac:dyDescent="0.3">
      <c r="W31" s="7"/>
    </row>
    <row r="32" spans="1:25" ht="36.75" customHeight="1" x14ac:dyDescent="0.3">
      <c r="W32" s="7"/>
    </row>
    <row r="33" spans="23:23" ht="36.75" customHeight="1" x14ac:dyDescent="0.3">
      <c r="W33" s="7"/>
    </row>
    <row r="34" spans="23:23" ht="36.75" customHeight="1" x14ac:dyDescent="0.3">
      <c r="W34" s="3"/>
    </row>
  </sheetData>
  <mergeCells count="46">
    <mergeCell ref="A5:A6"/>
    <mergeCell ref="B5:C6"/>
    <mergeCell ref="D5:I5"/>
    <mergeCell ref="J5:K6"/>
    <mergeCell ref="L5:M6"/>
    <mergeCell ref="N3:O3"/>
    <mergeCell ref="P3:Q3"/>
    <mergeCell ref="R3:U3"/>
    <mergeCell ref="A4:C4"/>
    <mergeCell ref="R4:U4"/>
    <mergeCell ref="A3:C3"/>
    <mergeCell ref="D3:E3"/>
    <mergeCell ref="F3:G3"/>
    <mergeCell ref="H3:I3"/>
    <mergeCell ref="J3:K3"/>
    <mergeCell ref="L3:M3"/>
    <mergeCell ref="N5:O6"/>
    <mergeCell ref="P5:Q6"/>
    <mergeCell ref="R5:S6"/>
    <mergeCell ref="T5:U6"/>
    <mergeCell ref="D6:E6"/>
    <mergeCell ref="F6:G6"/>
    <mergeCell ref="H6:I6"/>
    <mergeCell ref="B7:C7"/>
    <mergeCell ref="T7:U7"/>
    <mergeCell ref="B8:C8"/>
    <mergeCell ref="T8:U8"/>
    <mergeCell ref="B9:C9"/>
    <mergeCell ref="T9:U9"/>
    <mergeCell ref="B10:C10"/>
    <mergeCell ref="T10:U10"/>
    <mergeCell ref="B11:C11"/>
    <mergeCell ref="T11:U11"/>
    <mergeCell ref="B12:C12"/>
    <mergeCell ref="T12:U12"/>
    <mergeCell ref="B13:C13"/>
    <mergeCell ref="D13:M13"/>
    <mergeCell ref="T13:U13"/>
    <mergeCell ref="B14:C14"/>
    <mergeCell ref="D14:M14"/>
    <mergeCell ref="T14:U14"/>
    <mergeCell ref="B15:C15"/>
    <mergeCell ref="D15:M15"/>
    <mergeCell ref="T15:U15"/>
    <mergeCell ref="A16:M16"/>
    <mergeCell ref="W16:Y16"/>
  </mergeCells>
  <phoneticPr fontId="3" type="noConversion"/>
  <printOptions horizontalCentered="1" verticalCentered="1"/>
  <pageMargins left="0.19685039370078741" right="0.19685039370078741" top="0.55118110236220474" bottom="0.35433070866141736" header="0.11811023622047245" footer="0.11811023622047245"/>
  <pageSetup paperSize="9" scale="86" orientation="landscape" vertic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3AB78-B21B-4643-A4C2-480F61B75ECA}">
  <sheetPr>
    <pageSetUpPr fitToPage="1"/>
  </sheetPr>
  <dimension ref="A1:AG34"/>
  <sheetViews>
    <sheetView view="pageBreakPreview" zoomScale="90" zoomScaleNormal="85" zoomScaleSheetLayoutView="90" zoomScalePageLayoutView="55" workbookViewId="0">
      <selection activeCell="W12" sqref="W12"/>
    </sheetView>
  </sheetViews>
  <sheetFormatPr defaultColWidth="9" defaultRowHeight="36.75" customHeight="1" x14ac:dyDescent="0.3"/>
  <cols>
    <col min="1" max="1" width="6.375" style="2" customWidth="1"/>
    <col min="2" max="3" width="8.25" style="2" customWidth="1"/>
    <col min="4" max="4" width="6.75" style="3" customWidth="1"/>
    <col min="5" max="5" width="4.375" style="3" customWidth="1"/>
    <col min="6" max="6" width="6.75" style="3" customWidth="1"/>
    <col min="7" max="7" width="4.375" style="3" customWidth="1"/>
    <col min="8" max="8" width="6.75" style="3" customWidth="1"/>
    <col min="9" max="9" width="4.375" style="3" customWidth="1"/>
    <col min="10" max="10" width="6.5" style="3" customWidth="1"/>
    <col min="11" max="11" width="4.375" style="3" customWidth="1"/>
    <col min="12" max="12" width="6.5" style="3" customWidth="1"/>
    <col min="13" max="13" width="5.25" style="3" customWidth="1"/>
    <col min="14" max="14" width="9" style="3" customWidth="1"/>
    <col min="15" max="15" width="4.375" style="3" customWidth="1"/>
    <col min="16" max="16" width="9" style="3" customWidth="1"/>
    <col min="17" max="17" width="4.375" style="3" customWidth="1"/>
    <col min="18" max="18" width="12.875" style="3" customWidth="1"/>
    <col min="19" max="19" width="4.375" style="3" customWidth="1"/>
    <col min="20" max="21" width="14.875" style="3" customWidth="1"/>
    <col min="22" max="22" width="9.5" style="5" customWidth="1"/>
    <col min="23" max="23" width="12.125" style="25" customWidth="1"/>
    <col min="24" max="26" width="12.125" style="3" customWidth="1"/>
    <col min="27" max="32" width="9" style="3"/>
    <col min="33" max="33" width="9" style="3" hidden="1" customWidth="1"/>
    <col min="34" max="34" width="9" style="3" customWidth="1"/>
    <col min="35" max="16384" width="9" style="3"/>
  </cols>
  <sheetData>
    <row r="1" spans="1:33" s="5" customFormat="1" ht="36.75" customHeight="1" x14ac:dyDescent="0.3">
      <c r="A1" s="1" t="s">
        <v>151</v>
      </c>
      <c r="B1" s="1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W1" s="4"/>
    </row>
    <row r="2" spans="1:33" s="5" customFormat="1" ht="27.75" customHeight="1" thickBot="1" x14ac:dyDescent="0.35">
      <c r="A2" s="1"/>
      <c r="B2" s="1"/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W2" s="39" t="s">
        <v>110</v>
      </c>
      <c r="AA2" s="39"/>
    </row>
    <row r="3" spans="1:33" s="7" customFormat="1" ht="36.75" customHeight="1" x14ac:dyDescent="0.3">
      <c r="A3" s="133" t="s">
        <v>0</v>
      </c>
      <c r="B3" s="134"/>
      <c r="C3" s="135"/>
      <c r="D3" s="136" t="s">
        <v>1</v>
      </c>
      <c r="E3" s="135"/>
      <c r="F3" s="137" t="s">
        <v>2</v>
      </c>
      <c r="G3" s="135"/>
      <c r="H3" s="137" t="s">
        <v>3</v>
      </c>
      <c r="I3" s="135"/>
      <c r="J3" s="138" t="s">
        <v>120</v>
      </c>
      <c r="K3" s="139"/>
      <c r="L3" s="140" t="s">
        <v>4</v>
      </c>
      <c r="M3" s="139"/>
      <c r="N3" s="140" t="s">
        <v>5</v>
      </c>
      <c r="O3" s="141"/>
      <c r="P3" s="140" t="s">
        <v>6</v>
      </c>
      <c r="Q3" s="141"/>
      <c r="R3" s="117" t="s">
        <v>7</v>
      </c>
      <c r="S3" s="206"/>
      <c r="T3" s="206"/>
      <c r="U3" s="118"/>
      <c r="W3" s="39" t="s">
        <v>106</v>
      </c>
      <c r="AA3" s="39"/>
      <c r="AG3" s="115">
        <v>980</v>
      </c>
    </row>
    <row r="4" spans="1:33" s="7" customFormat="1" ht="36.75" customHeight="1" x14ac:dyDescent="0.3">
      <c r="A4" s="129" t="s">
        <v>9</v>
      </c>
      <c r="B4" s="130"/>
      <c r="C4" s="127"/>
      <c r="D4" s="8">
        <v>1200</v>
      </c>
      <c r="E4" s="9" t="s">
        <v>10</v>
      </c>
      <c r="F4" s="8">
        <v>600</v>
      </c>
      <c r="G4" s="9" t="s">
        <v>10</v>
      </c>
      <c r="H4" s="8">
        <v>2100</v>
      </c>
      <c r="I4" s="9" t="s">
        <v>10</v>
      </c>
      <c r="J4" s="10">
        <v>4</v>
      </c>
      <c r="K4" s="11" t="s">
        <v>11</v>
      </c>
      <c r="L4" s="10">
        <v>2</v>
      </c>
      <c r="M4" s="11" t="s">
        <v>12</v>
      </c>
      <c r="N4" s="10">
        <v>1</v>
      </c>
      <c r="O4" s="9" t="s">
        <v>13</v>
      </c>
      <c r="P4" s="10">
        <v>1</v>
      </c>
      <c r="Q4" s="9" t="s">
        <v>13</v>
      </c>
      <c r="R4" s="207" t="s">
        <v>14</v>
      </c>
      <c r="S4" s="208"/>
      <c r="T4" s="208"/>
      <c r="U4" s="209"/>
      <c r="W4" s="39" t="s">
        <v>107</v>
      </c>
      <c r="AA4" s="39"/>
    </row>
    <row r="5" spans="1:33" s="7" customFormat="1" ht="36.75" customHeight="1" x14ac:dyDescent="0.3">
      <c r="A5" s="119" t="s">
        <v>16</v>
      </c>
      <c r="B5" s="121" t="s">
        <v>17</v>
      </c>
      <c r="C5" s="122"/>
      <c r="D5" s="125" t="s">
        <v>18</v>
      </c>
      <c r="E5" s="126"/>
      <c r="F5" s="126"/>
      <c r="G5" s="126"/>
      <c r="H5" s="126"/>
      <c r="I5" s="127"/>
      <c r="J5" s="121" t="s">
        <v>19</v>
      </c>
      <c r="K5" s="122"/>
      <c r="L5" s="128" t="s">
        <v>20</v>
      </c>
      <c r="M5" s="203"/>
      <c r="N5" s="121" t="s">
        <v>21</v>
      </c>
      <c r="O5" s="145"/>
      <c r="P5" s="128" t="s">
        <v>22</v>
      </c>
      <c r="Q5" s="203"/>
      <c r="R5" s="128" t="s">
        <v>23</v>
      </c>
      <c r="S5" s="145"/>
      <c r="T5" s="128" t="s">
        <v>47</v>
      </c>
      <c r="U5" s="148"/>
      <c r="W5" s="39" t="s">
        <v>131</v>
      </c>
      <c r="AA5" s="39"/>
    </row>
    <row r="6" spans="1:33" s="7" customFormat="1" ht="36.75" customHeight="1" x14ac:dyDescent="0.3">
      <c r="A6" s="120"/>
      <c r="B6" s="123"/>
      <c r="C6" s="124"/>
      <c r="D6" s="150" t="s">
        <v>1</v>
      </c>
      <c r="E6" s="127"/>
      <c r="F6" s="125" t="s">
        <v>2</v>
      </c>
      <c r="G6" s="127"/>
      <c r="H6" s="125" t="s">
        <v>3</v>
      </c>
      <c r="I6" s="127"/>
      <c r="J6" s="123"/>
      <c r="K6" s="124"/>
      <c r="L6" s="204"/>
      <c r="M6" s="205"/>
      <c r="N6" s="146"/>
      <c r="O6" s="147"/>
      <c r="P6" s="204"/>
      <c r="Q6" s="205"/>
      <c r="R6" s="146"/>
      <c r="S6" s="147"/>
      <c r="T6" s="146"/>
      <c r="U6" s="149"/>
      <c r="W6" s="39" t="s">
        <v>130</v>
      </c>
      <c r="AA6" s="55"/>
    </row>
    <row r="7" spans="1:33" s="7" customFormat="1" ht="36.75" customHeight="1" x14ac:dyDescent="0.3">
      <c r="A7" s="14">
        <v>1</v>
      </c>
      <c r="B7" s="199" t="s">
        <v>127</v>
      </c>
      <c r="C7" s="200"/>
      <c r="D7" s="16"/>
      <c r="E7" s="9" t="s">
        <v>10</v>
      </c>
      <c r="F7" s="16"/>
      <c r="G7" s="9" t="s">
        <v>10</v>
      </c>
      <c r="H7" s="16">
        <f>H4</f>
        <v>2100</v>
      </c>
      <c r="I7" s="9" t="s">
        <v>10</v>
      </c>
      <c r="J7" s="17">
        <v>2</v>
      </c>
      <c r="K7" s="94" t="s">
        <v>25</v>
      </c>
      <c r="L7" s="18">
        <f>159*H7*J7*7.85/10^6</f>
        <v>5.2422300000000002</v>
      </c>
      <c r="M7" s="9" t="s">
        <v>26</v>
      </c>
      <c r="N7" s="16">
        <f>N4*4+P4*2</f>
        <v>6</v>
      </c>
      <c r="O7" s="9" t="s">
        <v>27</v>
      </c>
      <c r="P7" s="98">
        <f t="shared" ref="P7" si="0">L7*N7</f>
        <v>31.453380000000003</v>
      </c>
      <c r="Q7" s="9" t="s">
        <v>26</v>
      </c>
      <c r="R7" s="101">
        <f>IF(AND(1.6&lt;J7,J7&lt;2),$AG$3+10,IF(AND(1.4&lt;J7,J7&lt;=1.6),$AG$3+20,IF(J7&lt;=1.4,$AG$3+40,$AG$3)))*P7+P7*365+IF(H7&lt;8800,600,1100)*H7/1000*N7</f>
        <v>49864.796100000007</v>
      </c>
      <c r="S7" s="9" t="s">
        <v>8</v>
      </c>
      <c r="T7" s="201" t="s">
        <v>128</v>
      </c>
      <c r="U7" s="202"/>
      <c r="W7" s="55" t="s">
        <v>15</v>
      </c>
      <c r="AA7" s="39"/>
    </row>
    <row r="8" spans="1:33" s="7" customFormat="1" ht="36.75" customHeight="1" x14ac:dyDescent="0.3">
      <c r="A8" s="14">
        <v>2</v>
      </c>
      <c r="B8" s="177" t="s">
        <v>28</v>
      </c>
      <c r="C8" s="178"/>
      <c r="D8" s="16">
        <f>D4-64</f>
        <v>1136</v>
      </c>
      <c r="E8" s="60" t="s">
        <v>10</v>
      </c>
      <c r="F8" s="16">
        <f>F4-19</f>
        <v>581</v>
      </c>
      <c r="G8" s="60" t="s">
        <v>10</v>
      </c>
      <c r="H8" s="61">
        <v>40</v>
      </c>
      <c r="I8" s="60" t="s">
        <v>10</v>
      </c>
      <c r="J8" s="17">
        <v>1</v>
      </c>
      <c r="K8" s="60" t="s">
        <v>25</v>
      </c>
      <c r="L8" s="62">
        <f>(D8+80-4)*(F8+110)*J8*7.85/1000000</f>
        <v>6.5743121999999996</v>
      </c>
      <c r="M8" s="63" t="s">
        <v>26</v>
      </c>
      <c r="N8" s="16">
        <f>(N4+P4)*(J4)</f>
        <v>8</v>
      </c>
      <c r="O8" s="60" t="s">
        <v>27</v>
      </c>
      <c r="P8" s="64">
        <f>L8*N8</f>
        <v>52.594497599999997</v>
      </c>
      <c r="Q8" s="60" t="s">
        <v>26</v>
      </c>
      <c r="R8" s="101">
        <f>(IF(J8&lt;1,$AG$3+20,$AG$3)+40)*P8+P8*362+((D8+64)*(F8+19))/90000*N8*360</f>
        <v>95725.595683199994</v>
      </c>
      <c r="S8" s="9" t="s">
        <v>8</v>
      </c>
      <c r="T8" s="154"/>
      <c r="U8" s="192"/>
      <c r="W8" s="39" t="s">
        <v>136</v>
      </c>
      <c r="AA8" s="39"/>
    </row>
    <row r="9" spans="1:33" s="7" customFormat="1" ht="36.75" customHeight="1" x14ac:dyDescent="0.3">
      <c r="A9" s="14">
        <v>3</v>
      </c>
      <c r="B9" s="177" t="s">
        <v>29</v>
      </c>
      <c r="C9" s="178"/>
      <c r="D9" s="61">
        <f>D8-15</f>
        <v>1121</v>
      </c>
      <c r="E9" s="60" t="s">
        <v>10</v>
      </c>
      <c r="F9" s="61"/>
      <c r="G9" s="60" t="s">
        <v>10</v>
      </c>
      <c r="H9" s="61"/>
      <c r="I9" s="60" t="s">
        <v>10</v>
      </c>
      <c r="J9" s="17">
        <f>J8</f>
        <v>1</v>
      </c>
      <c r="K9" s="60" t="s">
        <v>25</v>
      </c>
      <c r="L9" s="62">
        <f>D9*135*J9*7.85/1000000</f>
        <v>1.18797975</v>
      </c>
      <c r="M9" s="63" t="s">
        <v>26</v>
      </c>
      <c r="N9" s="16">
        <f>N8*L4</f>
        <v>16</v>
      </c>
      <c r="O9" s="60" t="s">
        <v>27</v>
      </c>
      <c r="P9" s="64">
        <f>L9*N9</f>
        <v>19.007676</v>
      </c>
      <c r="Q9" s="60" t="s">
        <v>26</v>
      </c>
      <c r="R9" s="101">
        <f>(IF(J9&lt;1,$AG$3+20,$AG$3)+40)*P9+P9*362</f>
        <v>26268.608231999999</v>
      </c>
      <c r="S9" s="9" t="s">
        <v>8</v>
      </c>
      <c r="T9" s="154"/>
      <c r="U9" s="192"/>
      <c r="W9" s="39" t="s">
        <v>137</v>
      </c>
      <c r="AA9" s="39"/>
    </row>
    <row r="10" spans="1:33" s="7" customFormat="1" ht="36.75" customHeight="1" x14ac:dyDescent="0.3">
      <c r="A10" s="14">
        <v>4</v>
      </c>
      <c r="B10" s="193" t="s">
        <v>125</v>
      </c>
      <c r="C10" s="194"/>
      <c r="D10" s="16">
        <f>D4-4</f>
        <v>1196</v>
      </c>
      <c r="E10" s="9" t="s">
        <v>10</v>
      </c>
      <c r="F10" s="16"/>
      <c r="G10" s="9" t="s">
        <v>10</v>
      </c>
      <c r="H10" s="16"/>
      <c r="I10" s="9" t="s">
        <v>10</v>
      </c>
      <c r="J10" s="17">
        <v>2</v>
      </c>
      <c r="K10" s="94" t="s">
        <v>25</v>
      </c>
      <c r="L10" s="18">
        <f>112*D10*J10*7.85/10^6</f>
        <v>2.1030463999999998</v>
      </c>
      <c r="M10" s="9" t="s">
        <v>26</v>
      </c>
      <c r="N10" s="16">
        <f>(N4+P4)*4</f>
        <v>8</v>
      </c>
      <c r="O10" s="9" t="s">
        <v>27</v>
      </c>
      <c r="P10" s="19">
        <f t="shared" ref="P10" si="1">L10*N10</f>
        <v>16.824371199999998</v>
      </c>
      <c r="Q10" s="9" t="s">
        <v>26</v>
      </c>
      <c r="R10" s="101">
        <f>(IF(J10&lt;1,$AG$3+20,$AG$3)+40)*P10+P10*362+(D10+4)/1000*600*N10</f>
        <v>29011.280998399998</v>
      </c>
      <c r="S10" s="9" t="s">
        <v>8</v>
      </c>
      <c r="T10" s="195"/>
      <c r="U10" s="196"/>
      <c r="W10" s="39" t="s">
        <v>138</v>
      </c>
      <c r="AA10" s="39"/>
    </row>
    <row r="11" spans="1:33" s="7" customFormat="1" ht="36.75" customHeight="1" x14ac:dyDescent="0.3">
      <c r="A11" s="14">
        <v>5</v>
      </c>
      <c r="B11" s="193" t="s">
        <v>126</v>
      </c>
      <c r="C11" s="194"/>
      <c r="D11" s="16"/>
      <c r="E11" s="9" t="s">
        <v>10</v>
      </c>
      <c r="F11" s="16">
        <f>F4-18</f>
        <v>582</v>
      </c>
      <c r="G11" s="9" t="s">
        <v>10</v>
      </c>
      <c r="H11" s="16"/>
      <c r="I11" s="9" t="s">
        <v>10</v>
      </c>
      <c r="J11" s="17">
        <v>2</v>
      </c>
      <c r="K11" s="94" t="s">
        <v>25</v>
      </c>
      <c r="L11" s="18">
        <f>F11*130*J11*7.85/10^6</f>
        <v>1.187862</v>
      </c>
      <c r="M11" s="9" t="s">
        <v>26</v>
      </c>
      <c r="N11" s="16">
        <f>(N4+P4)*2</f>
        <v>4</v>
      </c>
      <c r="O11" s="9" t="s">
        <v>27</v>
      </c>
      <c r="P11" s="19">
        <f>L11*N11</f>
        <v>4.7514479999999999</v>
      </c>
      <c r="Q11" s="9" t="s">
        <v>26</v>
      </c>
      <c r="R11" s="101">
        <f>IF(AND(1.6&lt;J11,J11&lt;2),$AG$3+10,IF(AND(1.4&lt;J11,J11&lt;=1.6),$AG$3+20,IF(J11&lt;=1.4,$AG$3+40,$AG$3)))*P11+P11*365+(F11+18)/1000*550*N11</f>
        <v>7710.6975599999996</v>
      </c>
      <c r="S11" s="9" t="s">
        <v>8</v>
      </c>
      <c r="T11" s="195"/>
      <c r="U11" s="196"/>
      <c r="W11" s="55" t="s">
        <v>129</v>
      </c>
      <c r="AA11" s="39"/>
    </row>
    <row r="12" spans="1:33" s="7" customFormat="1" ht="36.75" customHeight="1" x14ac:dyDescent="0.3">
      <c r="A12" s="14">
        <v>6</v>
      </c>
      <c r="B12" s="193" t="s">
        <v>30</v>
      </c>
      <c r="C12" s="194"/>
      <c r="D12" s="16"/>
      <c r="E12" s="9" t="s">
        <v>10</v>
      </c>
      <c r="F12" s="16">
        <f>F4+15</f>
        <v>615</v>
      </c>
      <c r="G12" s="9" t="s">
        <v>10</v>
      </c>
      <c r="H12" s="16"/>
      <c r="I12" s="9" t="s">
        <v>10</v>
      </c>
      <c r="J12" s="17">
        <v>2</v>
      </c>
      <c r="K12" s="94" t="s">
        <v>25</v>
      </c>
      <c r="L12" s="18">
        <f>F12*112*J12*7.85/10^6</f>
        <v>1.0814159999999999</v>
      </c>
      <c r="M12" s="9" t="s">
        <v>26</v>
      </c>
      <c r="N12" s="16">
        <f>(N4+P4)*J4*2-N11</f>
        <v>12</v>
      </c>
      <c r="O12" s="9" t="s">
        <v>27</v>
      </c>
      <c r="P12" s="19">
        <f>L12*N12</f>
        <v>12.976991999999999</v>
      </c>
      <c r="Q12" s="9" t="s">
        <v>26</v>
      </c>
      <c r="R12" s="101">
        <f>IF(AND(1.6&lt;J12,J12&lt;2),$AG$3+10,IF(AND(1.4&lt;J12,J12&lt;=1.6),$AG$3+20,IF(J12&lt;=1.4,$AG$3+40,$AG$3)))*P12+P12*365+(F12-15)/1000*550*N12</f>
        <v>21414.054239999998</v>
      </c>
      <c r="S12" s="9" t="s">
        <v>8</v>
      </c>
      <c r="T12" s="195"/>
      <c r="U12" s="196"/>
      <c r="AA12" s="55"/>
    </row>
    <row r="13" spans="1:33" s="7" customFormat="1" ht="36.75" customHeight="1" x14ac:dyDescent="0.3">
      <c r="A13" s="14">
        <v>7</v>
      </c>
      <c r="B13" s="125" t="s">
        <v>121</v>
      </c>
      <c r="C13" s="142"/>
      <c r="D13" s="154" t="s">
        <v>31</v>
      </c>
      <c r="E13" s="155"/>
      <c r="F13" s="155"/>
      <c r="G13" s="155"/>
      <c r="H13" s="155"/>
      <c r="I13" s="155"/>
      <c r="J13" s="155"/>
      <c r="K13" s="155"/>
      <c r="L13" s="155"/>
      <c r="M13" s="156"/>
      <c r="N13" s="16">
        <f>N7</f>
        <v>6</v>
      </c>
      <c r="O13" s="9" t="s">
        <v>27</v>
      </c>
      <c r="P13" s="19"/>
      <c r="Q13" s="9"/>
      <c r="R13" s="20">
        <f>N13*150</f>
        <v>900</v>
      </c>
      <c r="S13" s="9" t="s">
        <v>8</v>
      </c>
      <c r="T13" s="154"/>
      <c r="U13" s="192"/>
      <c r="W13" s="21" t="s">
        <v>32</v>
      </c>
      <c r="X13" s="21" t="s">
        <v>33</v>
      </c>
      <c r="Y13" s="21" t="s">
        <v>34</v>
      </c>
      <c r="Z13" s="21" t="s">
        <v>35</v>
      </c>
    </row>
    <row r="14" spans="1:33" s="7" customFormat="1" ht="36.75" customHeight="1" x14ac:dyDescent="0.3">
      <c r="A14" s="14">
        <v>8</v>
      </c>
      <c r="B14" s="125" t="s">
        <v>36</v>
      </c>
      <c r="C14" s="142"/>
      <c r="D14" s="154" t="s">
        <v>31</v>
      </c>
      <c r="E14" s="155"/>
      <c r="F14" s="155"/>
      <c r="G14" s="155"/>
      <c r="H14" s="155"/>
      <c r="I14" s="155"/>
      <c r="J14" s="155"/>
      <c r="K14" s="155"/>
      <c r="L14" s="155"/>
      <c r="M14" s="156"/>
      <c r="N14" s="16">
        <f>N10*2</f>
        <v>16</v>
      </c>
      <c r="O14" s="9" t="s">
        <v>27</v>
      </c>
      <c r="P14" s="19"/>
      <c r="Q14" s="9"/>
      <c r="R14" s="20">
        <f>N14*110</f>
        <v>1760</v>
      </c>
      <c r="S14" s="9" t="s">
        <v>8</v>
      </c>
      <c r="T14" s="154"/>
      <c r="U14" s="192"/>
      <c r="W14" s="21" t="s">
        <v>5</v>
      </c>
      <c r="X14" s="21">
        <f>N4</f>
        <v>1</v>
      </c>
      <c r="Y14" s="21"/>
      <c r="Z14" s="21">
        <f>X14*Y14</f>
        <v>0</v>
      </c>
    </row>
    <row r="15" spans="1:33" s="7" customFormat="1" ht="36.75" customHeight="1" thickBot="1" x14ac:dyDescent="0.35">
      <c r="A15" s="14">
        <v>9</v>
      </c>
      <c r="B15" s="164" t="s">
        <v>37</v>
      </c>
      <c r="C15" s="165"/>
      <c r="D15" s="166" t="s">
        <v>31</v>
      </c>
      <c r="E15" s="167"/>
      <c r="F15" s="167"/>
      <c r="G15" s="167"/>
      <c r="H15" s="167"/>
      <c r="I15" s="167"/>
      <c r="J15" s="167"/>
      <c r="K15" s="167"/>
      <c r="L15" s="167"/>
      <c r="M15" s="168"/>
      <c r="N15" s="16"/>
      <c r="O15" s="9"/>
      <c r="P15" s="99">
        <f>SUM(P7:P14)*3%</f>
        <v>4.1282509440000004</v>
      </c>
      <c r="Q15" s="9" t="s">
        <v>26</v>
      </c>
      <c r="R15" s="101">
        <f>$AG$3*P15</f>
        <v>4045.6859251200003</v>
      </c>
      <c r="S15" s="9" t="s">
        <v>8</v>
      </c>
      <c r="T15" s="154"/>
      <c r="U15" s="192"/>
      <c r="W15" s="21" t="s">
        <v>6</v>
      </c>
      <c r="X15" s="21">
        <f>P4</f>
        <v>1</v>
      </c>
      <c r="Y15" s="21"/>
      <c r="Z15" s="21">
        <f>X15*Y15</f>
        <v>0</v>
      </c>
    </row>
    <row r="16" spans="1:33" s="7" customFormat="1" ht="36.75" customHeight="1" thickTop="1" thickBot="1" x14ac:dyDescent="0.35">
      <c r="A16" s="171" t="s">
        <v>38</v>
      </c>
      <c r="B16" s="172"/>
      <c r="C16" s="172"/>
      <c r="D16" s="172"/>
      <c r="E16" s="172"/>
      <c r="F16" s="172"/>
      <c r="G16" s="172"/>
      <c r="H16" s="172"/>
      <c r="I16" s="172"/>
      <c r="J16" s="172"/>
      <c r="K16" s="172"/>
      <c r="L16" s="172"/>
      <c r="M16" s="173"/>
      <c r="N16" s="22">
        <f>SUM(N7:N14)</f>
        <v>76</v>
      </c>
      <c r="O16" s="23" t="s">
        <v>27</v>
      </c>
      <c r="P16" s="100">
        <f>SUM(P7:P15)</f>
        <v>141.73661574400001</v>
      </c>
      <c r="Q16" s="23" t="s">
        <v>26</v>
      </c>
      <c r="R16" s="49">
        <f>MROUND((SUM(R7:R15)+SUM(R7:R15)*T16%),10)</f>
        <v>260370</v>
      </c>
      <c r="S16" s="50" t="s">
        <v>8</v>
      </c>
      <c r="T16" s="51">
        <v>10</v>
      </c>
      <c r="U16" s="52" t="s">
        <v>65</v>
      </c>
      <c r="W16" s="174" t="s">
        <v>39</v>
      </c>
      <c r="X16" s="175"/>
      <c r="Y16" s="176"/>
      <c r="Z16" s="21">
        <f>SUM(Z14:Z15)</f>
        <v>0</v>
      </c>
    </row>
    <row r="17" spans="1:25" s="6" customFormat="1" ht="36.75" customHeight="1" x14ac:dyDescent="0.3">
      <c r="A17" s="2"/>
      <c r="B17" s="2"/>
      <c r="C17" s="2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W17" s="7"/>
    </row>
    <row r="18" spans="1:25" s="6" customFormat="1" ht="36.75" customHeight="1" x14ac:dyDescent="0.3">
      <c r="A18" s="2"/>
      <c r="B18" s="2"/>
      <c r="C18" s="2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W18" s="7"/>
    </row>
    <row r="19" spans="1:25" s="6" customFormat="1" ht="36.75" customHeight="1" x14ac:dyDescent="0.3">
      <c r="A19" s="2"/>
      <c r="B19" s="2"/>
      <c r="C19" s="2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W19" s="7"/>
    </row>
    <row r="20" spans="1:25" s="6" customFormat="1" ht="36.75" customHeight="1" x14ac:dyDescent="0.3">
      <c r="A20" s="2"/>
      <c r="B20" s="2"/>
      <c r="C20" s="2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W20" s="7"/>
      <c r="X20" s="3"/>
    </row>
    <row r="21" spans="1:25" ht="36.75" customHeight="1" x14ac:dyDescent="0.3">
      <c r="W21" s="7"/>
      <c r="Y21" s="6"/>
    </row>
    <row r="22" spans="1:25" ht="36.75" customHeight="1" x14ac:dyDescent="0.3">
      <c r="W22" s="7"/>
    </row>
    <row r="23" spans="1:25" ht="36.75" customHeight="1" x14ac:dyDescent="0.3">
      <c r="W23" s="7"/>
    </row>
    <row r="24" spans="1:25" ht="36.75" customHeight="1" x14ac:dyDescent="0.3">
      <c r="W24" s="7"/>
    </row>
    <row r="25" spans="1:25" ht="36.75" customHeight="1" x14ac:dyDescent="0.3">
      <c r="W25" s="7"/>
    </row>
    <row r="26" spans="1:25" ht="36.75" customHeight="1" x14ac:dyDescent="0.3">
      <c r="W26" s="7"/>
    </row>
    <row r="27" spans="1:25" ht="36.75" customHeight="1" x14ac:dyDescent="0.3">
      <c r="W27" s="7"/>
    </row>
    <row r="28" spans="1:25" ht="36.75" customHeight="1" x14ac:dyDescent="0.3">
      <c r="W28" s="7"/>
    </row>
    <row r="29" spans="1:25" ht="36.75" customHeight="1" x14ac:dyDescent="0.3">
      <c r="W29" s="7"/>
    </row>
    <row r="30" spans="1:25" ht="36.75" customHeight="1" x14ac:dyDescent="0.3">
      <c r="W30" s="7"/>
    </row>
    <row r="31" spans="1:25" ht="36.75" customHeight="1" x14ac:dyDescent="0.3">
      <c r="W31" s="7"/>
    </row>
    <row r="32" spans="1:25" ht="36.75" customHeight="1" x14ac:dyDescent="0.3">
      <c r="W32" s="7"/>
    </row>
    <row r="33" spans="23:23" ht="36.75" customHeight="1" x14ac:dyDescent="0.3">
      <c r="W33" s="7"/>
    </row>
    <row r="34" spans="23:23" ht="36.75" customHeight="1" x14ac:dyDescent="0.3">
      <c r="W34" s="3"/>
    </row>
  </sheetData>
  <mergeCells count="46">
    <mergeCell ref="A5:A6"/>
    <mergeCell ref="B5:C6"/>
    <mergeCell ref="D5:I5"/>
    <mergeCell ref="J5:K6"/>
    <mergeCell ref="L5:M6"/>
    <mergeCell ref="N3:O3"/>
    <mergeCell ref="P3:Q3"/>
    <mergeCell ref="R3:U3"/>
    <mergeCell ref="A4:C4"/>
    <mergeCell ref="R4:U4"/>
    <mergeCell ref="A3:C3"/>
    <mergeCell ref="D3:E3"/>
    <mergeCell ref="F3:G3"/>
    <mergeCell ref="H3:I3"/>
    <mergeCell ref="J3:K3"/>
    <mergeCell ref="L3:M3"/>
    <mergeCell ref="N5:O6"/>
    <mergeCell ref="P5:Q6"/>
    <mergeCell ref="R5:S6"/>
    <mergeCell ref="T5:U6"/>
    <mergeCell ref="D6:E6"/>
    <mergeCell ref="F6:G6"/>
    <mergeCell ref="H6:I6"/>
    <mergeCell ref="B7:C7"/>
    <mergeCell ref="T7:U7"/>
    <mergeCell ref="B8:C8"/>
    <mergeCell ref="T8:U8"/>
    <mergeCell ref="B9:C9"/>
    <mergeCell ref="T9:U9"/>
    <mergeCell ref="B10:C10"/>
    <mergeCell ref="T10:U10"/>
    <mergeCell ref="B11:C11"/>
    <mergeCell ref="T11:U11"/>
    <mergeCell ref="B12:C12"/>
    <mergeCell ref="T12:U12"/>
    <mergeCell ref="B13:C13"/>
    <mergeCell ref="D13:M13"/>
    <mergeCell ref="T13:U13"/>
    <mergeCell ref="B14:C14"/>
    <mergeCell ref="D14:M14"/>
    <mergeCell ref="T14:U14"/>
    <mergeCell ref="B15:C15"/>
    <mergeCell ref="D15:M15"/>
    <mergeCell ref="T15:U15"/>
    <mergeCell ref="A16:M16"/>
    <mergeCell ref="W16:Y16"/>
  </mergeCells>
  <phoneticPr fontId="3" type="noConversion"/>
  <printOptions horizontalCentered="1" verticalCentered="1"/>
  <pageMargins left="0.19685039370078741" right="0.19685039370078741" top="0.55118110236220474" bottom="0.35433070866141736" header="0.11811023622047245" footer="0.11811023622047245"/>
  <pageSetup paperSize="9" scale="86" orientation="landscape" vertic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09223-2C2A-4B3A-9151-67827AB0319F}">
  <sheetPr>
    <pageSetUpPr fitToPage="1"/>
  </sheetPr>
  <dimension ref="A1:AG34"/>
  <sheetViews>
    <sheetView view="pageBreakPreview" zoomScale="90" zoomScaleNormal="85" zoomScaleSheetLayoutView="90" zoomScalePageLayoutView="55" workbookViewId="0">
      <selection activeCell="W12" sqref="W12"/>
    </sheetView>
  </sheetViews>
  <sheetFormatPr defaultColWidth="9" defaultRowHeight="37.5" customHeight="1" x14ac:dyDescent="0.3"/>
  <cols>
    <col min="1" max="1" width="6.5" style="2" customWidth="1"/>
    <col min="2" max="3" width="8" style="2" customWidth="1"/>
    <col min="4" max="4" width="7" style="3" customWidth="1"/>
    <col min="5" max="5" width="4.375" style="3" customWidth="1"/>
    <col min="6" max="6" width="7" style="3" customWidth="1"/>
    <col min="7" max="7" width="4.375" style="3" customWidth="1"/>
    <col min="8" max="8" width="7" style="3" customWidth="1"/>
    <col min="9" max="9" width="4.375" style="3" customWidth="1"/>
    <col min="10" max="10" width="6.5" style="3" customWidth="1"/>
    <col min="11" max="11" width="4.375" style="3" customWidth="1"/>
    <col min="12" max="12" width="6.5" style="3" customWidth="1"/>
    <col min="13" max="13" width="5.25" style="3" customWidth="1"/>
    <col min="14" max="14" width="9" style="3" customWidth="1"/>
    <col min="15" max="15" width="4.375" style="3" customWidth="1"/>
    <col min="16" max="16" width="9" style="3" customWidth="1"/>
    <col min="17" max="17" width="4.375" style="3" customWidth="1"/>
    <col min="18" max="18" width="12.875" style="3" customWidth="1"/>
    <col min="19" max="19" width="4.375" style="3" customWidth="1"/>
    <col min="20" max="21" width="14.75" style="3" customWidth="1"/>
    <col min="22" max="22" width="9.5" style="5" customWidth="1"/>
    <col min="23" max="23" width="12.125" style="25" customWidth="1"/>
    <col min="24" max="26" width="12.125" style="3" customWidth="1"/>
    <col min="27" max="32" width="9" style="3"/>
    <col min="33" max="33" width="9" style="3" hidden="1" customWidth="1"/>
    <col min="34" max="34" width="9" style="3" customWidth="1"/>
    <col min="35" max="16384" width="9" style="3"/>
  </cols>
  <sheetData>
    <row r="1" spans="1:33" s="5" customFormat="1" ht="37.5" customHeight="1" x14ac:dyDescent="0.3">
      <c r="A1" s="1" t="s">
        <v>153</v>
      </c>
      <c r="B1" s="1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W1" s="4"/>
    </row>
    <row r="2" spans="1:33" s="5" customFormat="1" ht="27" customHeight="1" thickBot="1" x14ac:dyDescent="0.35">
      <c r="A2" s="1"/>
      <c r="B2" s="1"/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W2" s="39" t="s">
        <v>110</v>
      </c>
      <c r="AA2" s="39"/>
    </row>
    <row r="3" spans="1:33" s="7" customFormat="1" ht="36.75" customHeight="1" x14ac:dyDescent="0.3">
      <c r="A3" s="133" t="s">
        <v>0</v>
      </c>
      <c r="B3" s="134"/>
      <c r="C3" s="135"/>
      <c r="D3" s="136" t="s">
        <v>1</v>
      </c>
      <c r="E3" s="135"/>
      <c r="F3" s="137" t="s">
        <v>2</v>
      </c>
      <c r="G3" s="135"/>
      <c r="H3" s="137" t="s">
        <v>3</v>
      </c>
      <c r="I3" s="135"/>
      <c r="J3" s="138" t="s">
        <v>120</v>
      </c>
      <c r="K3" s="139"/>
      <c r="L3" s="140" t="s">
        <v>4</v>
      </c>
      <c r="M3" s="139"/>
      <c r="N3" s="140" t="s">
        <v>5</v>
      </c>
      <c r="O3" s="141"/>
      <c r="P3" s="140" t="s">
        <v>6</v>
      </c>
      <c r="Q3" s="141"/>
      <c r="R3" s="117" t="s">
        <v>7</v>
      </c>
      <c r="S3" s="206"/>
      <c r="T3" s="206"/>
      <c r="U3" s="118"/>
      <c r="W3" s="39" t="s">
        <v>106</v>
      </c>
      <c r="AA3" s="39"/>
      <c r="AG3" s="115">
        <v>980</v>
      </c>
    </row>
    <row r="4" spans="1:33" s="7" customFormat="1" ht="36.75" customHeight="1" x14ac:dyDescent="0.3">
      <c r="A4" s="129" t="s">
        <v>123</v>
      </c>
      <c r="B4" s="130"/>
      <c r="C4" s="127"/>
      <c r="D4" s="8">
        <v>1200</v>
      </c>
      <c r="E4" s="9" t="s">
        <v>10</v>
      </c>
      <c r="F4" s="8">
        <v>600</v>
      </c>
      <c r="G4" s="9" t="s">
        <v>10</v>
      </c>
      <c r="H4" s="8">
        <v>2100</v>
      </c>
      <c r="I4" s="9" t="s">
        <v>10</v>
      </c>
      <c r="J4" s="10">
        <v>4</v>
      </c>
      <c r="K4" s="11" t="s">
        <v>11</v>
      </c>
      <c r="L4" s="10">
        <v>2</v>
      </c>
      <c r="M4" s="11" t="s">
        <v>12</v>
      </c>
      <c r="N4" s="10">
        <v>1</v>
      </c>
      <c r="O4" s="9" t="s">
        <v>13</v>
      </c>
      <c r="P4" s="10">
        <v>1</v>
      </c>
      <c r="Q4" s="9" t="s">
        <v>13</v>
      </c>
      <c r="R4" s="207" t="s">
        <v>14</v>
      </c>
      <c r="S4" s="208"/>
      <c r="T4" s="208"/>
      <c r="U4" s="209"/>
      <c r="W4" s="39" t="s">
        <v>107</v>
      </c>
      <c r="AA4" s="39"/>
    </row>
    <row r="5" spans="1:33" s="7" customFormat="1" ht="36.75" customHeight="1" x14ac:dyDescent="0.3">
      <c r="A5" s="119" t="s">
        <v>16</v>
      </c>
      <c r="B5" s="121" t="s">
        <v>17</v>
      </c>
      <c r="C5" s="122"/>
      <c r="D5" s="125" t="s">
        <v>18</v>
      </c>
      <c r="E5" s="126"/>
      <c r="F5" s="126"/>
      <c r="G5" s="126"/>
      <c r="H5" s="126"/>
      <c r="I5" s="127"/>
      <c r="J5" s="121" t="s">
        <v>19</v>
      </c>
      <c r="K5" s="122"/>
      <c r="L5" s="128" t="s">
        <v>20</v>
      </c>
      <c r="M5" s="203"/>
      <c r="N5" s="121" t="s">
        <v>21</v>
      </c>
      <c r="O5" s="145"/>
      <c r="P5" s="128" t="s">
        <v>22</v>
      </c>
      <c r="Q5" s="203"/>
      <c r="R5" s="128" t="s">
        <v>23</v>
      </c>
      <c r="S5" s="145"/>
      <c r="T5" s="128" t="s">
        <v>47</v>
      </c>
      <c r="U5" s="148"/>
      <c r="W5" s="39" t="s">
        <v>131</v>
      </c>
      <c r="AA5" s="39"/>
    </row>
    <row r="6" spans="1:33" s="7" customFormat="1" ht="36.75" customHeight="1" x14ac:dyDescent="0.3">
      <c r="A6" s="120"/>
      <c r="B6" s="123"/>
      <c r="C6" s="124"/>
      <c r="D6" s="150" t="s">
        <v>1</v>
      </c>
      <c r="E6" s="127"/>
      <c r="F6" s="125" t="s">
        <v>2</v>
      </c>
      <c r="G6" s="127"/>
      <c r="H6" s="125" t="s">
        <v>3</v>
      </c>
      <c r="I6" s="127"/>
      <c r="J6" s="123"/>
      <c r="K6" s="124"/>
      <c r="L6" s="204"/>
      <c r="M6" s="205"/>
      <c r="N6" s="146"/>
      <c r="O6" s="147"/>
      <c r="P6" s="204"/>
      <c r="Q6" s="205"/>
      <c r="R6" s="146"/>
      <c r="S6" s="147"/>
      <c r="T6" s="146"/>
      <c r="U6" s="149"/>
      <c r="W6" s="39" t="s">
        <v>130</v>
      </c>
      <c r="AA6" s="55"/>
    </row>
    <row r="7" spans="1:33" s="7" customFormat="1" ht="36.75" customHeight="1" x14ac:dyDescent="0.3">
      <c r="A7" s="14">
        <v>1</v>
      </c>
      <c r="B7" s="125" t="s">
        <v>124</v>
      </c>
      <c r="C7" s="142"/>
      <c r="D7" s="16"/>
      <c r="E7" s="9" t="s">
        <v>10</v>
      </c>
      <c r="F7" s="16"/>
      <c r="G7" s="9" t="s">
        <v>10</v>
      </c>
      <c r="H7" s="16">
        <f>H4</f>
        <v>2100</v>
      </c>
      <c r="I7" s="9" t="s">
        <v>10</v>
      </c>
      <c r="J7" s="17">
        <v>2</v>
      </c>
      <c r="K7" s="94" t="s">
        <v>25</v>
      </c>
      <c r="L7" s="18">
        <f>186*H7*J7*7.85/10^6</f>
        <v>6.1324199999999998</v>
      </c>
      <c r="M7" s="9" t="s">
        <v>26</v>
      </c>
      <c r="N7" s="16">
        <f>N4*4+P4*2</f>
        <v>6</v>
      </c>
      <c r="O7" s="9" t="s">
        <v>27</v>
      </c>
      <c r="P7" s="98">
        <f t="shared" ref="P7" si="0">L7*N7</f>
        <v>36.794519999999999</v>
      </c>
      <c r="Q7" s="9" t="s">
        <v>26</v>
      </c>
      <c r="R7" s="101">
        <f>IF(AND(1.6&lt;J7,J7&lt;2),$AG$3+10,IF(AND(1.4&lt;J7,J7&lt;=1.6),$AG$3+20,IF(J7&lt;=1.4,$AG$3+40,$AG$3)))*P7+P7*365+IF(H7&lt;8800,650,1200)*H7/1000*N7</f>
        <v>57678.629399999998</v>
      </c>
      <c r="S7" s="9" t="s">
        <v>8</v>
      </c>
      <c r="T7" s="154"/>
      <c r="U7" s="192"/>
      <c r="W7" s="55" t="s">
        <v>15</v>
      </c>
      <c r="AA7" s="39"/>
    </row>
    <row r="8" spans="1:33" s="7" customFormat="1" ht="36.75" customHeight="1" x14ac:dyDescent="0.3">
      <c r="A8" s="14">
        <v>2</v>
      </c>
      <c r="B8" s="177" t="s">
        <v>28</v>
      </c>
      <c r="C8" s="178"/>
      <c r="D8" s="16">
        <f>D4-64</f>
        <v>1136</v>
      </c>
      <c r="E8" s="60" t="s">
        <v>10</v>
      </c>
      <c r="F8" s="16">
        <f>F4-19</f>
        <v>581</v>
      </c>
      <c r="G8" s="60" t="s">
        <v>10</v>
      </c>
      <c r="H8" s="61">
        <v>40</v>
      </c>
      <c r="I8" s="60" t="s">
        <v>10</v>
      </c>
      <c r="J8" s="17">
        <v>1</v>
      </c>
      <c r="K8" s="60" t="s">
        <v>25</v>
      </c>
      <c r="L8" s="62">
        <f>(D8+80-4)*(F8+110)*J8*7.85/1000000</f>
        <v>6.5743121999999996</v>
      </c>
      <c r="M8" s="63" t="s">
        <v>26</v>
      </c>
      <c r="N8" s="16">
        <f>(N4+P4)*(J4)</f>
        <v>8</v>
      </c>
      <c r="O8" s="60" t="s">
        <v>27</v>
      </c>
      <c r="P8" s="64">
        <f>L8*N8</f>
        <v>52.594497599999997</v>
      </c>
      <c r="Q8" s="60" t="s">
        <v>26</v>
      </c>
      <c r="R8" s="101">
        <f>(IF(J8&lt;1,$AG$3+20,$AG$3)+40)*P8+P8*362+((D8+64)*(F8+19))/90000*N8*360</f>
        <v>95725.595683199994</v>
      </c>
      <c r="S8" s="9" t="s">
        <v>8</v>
      </c>
      <c r="T8" s="154"/>
      <c r="U8" s="192"/>
      <c r="W8" s="39" t="s">
        <v>136</v>
      </c>
      <c r="AA8" s="39"/>
    </row>
    <row r="9" spans="1:33" s="7" customFormat="1" ht="36.75" customHeight="1" x14ac:dyDescent="0.3">
      <c r="A9" s="14">
        <v>3</v>
      </c>
      <c r="B9" s="177" t="s">
        <v>29</v>
      </c>
      <c r="C9" s="178"/>
      <c r="D9" s="61">
        <f>D8-15</f>
        <v>1121</v>
      </c>
      <c r="E9" s="60" t="s">
        <v>10</v>
      </c>
      <c r="F9" s="61"/>
      <c r="G9" s="60" t="s">
        <v>10</v>
      </c>
      <c r="H9" s="61"/>
      <c r="I9" s="60" t="s">
        <v>10</v>
      </c>
      <c r="J9" s="17">
        <f>J8</f>
        <v>1</v>
      </c>
      <c r="K9" s="60" t="s">
        <v>25</v>
      </c>
      <c r="L9" s="62">
        <f>D9*135*J9*7.85/1000000</f>
        <v>1.18797975</v>
      </c>
      <c r="M9" s="63" t="s">
        <v>26</v>
      </c>
      <c r="N9" s="16">
        <f>N8*L4</f>
        <v>16</v>
      </c>
      <c r="O9" s="60" t="s">
        <v>27</v>
      </c>
      <c r="P9" s="64">
        <f>L9*N9</f>
        <v>19.007676</v>
      </c>
      <c r="Q9" s="60" t="s">
        <v>26</v>
      </c>
      <c r="R9" s="101">
        <f>(IF(J9&lt;1,$AG$3+20,$AG$3)+40)*P9+P9*362</f>
        <v>26268.608231999999</v>
      </c>
      <c r="S9" s="9" t="s">
        <v>8</v>
      </c>
      <c r="T9" s="154"/>
      <c r="U9" s="192"/>
      <c r="W9" s="39" t="s">
        <v>137</v>
      </c>
      <c r="AA9" s="39"/>
    </row>
    <row r="10" spans="1:33" s="7" customFormat="1" ht="36.75" customHeight="1" x14ac:dyDescent="0.3">
      <c r="A10" s="14">
        <v>4</v>
      </c>
      <c r="B10" s="193" t="s">
        <v>125</v>
      </c>
      <c r="C10" s="194"/>
      <c r="D10" s="16">
        <f>D4-4</f>
        <v>1196</v>
      </c>
      <c r="E10" s="9" t="s">
        <v>10</v>
      </c>
      <c r="F10" s="16"/>
      <c r="G10" s="9" t="s">
        <v>10</v>
      </c>
      <c r="H10" s="16"/>
      <c r="I10" s="9" t="s">
        <v>10</v>
      </c>
      <c r="J10" s="17">
        <v>2</v>
      </c>
      <c r="K10" s="94" t="s">
        <v>25</v>
      </c>
      <c r="L10" s="18">
        <f>112*D10*J10*7.85/10^6</f>
        <v>2.1030463999999998</v>
      </c>
      <c r="M10" s="9" t="s">
        <v>26</v>
      </c>
      <c r="N10" s="16">
        <f>(N4+P4)*4</f>
        <v>8</v>
      </c>
      <c r="O10" s="9" t="s">
        <v>27</v>
      </c>
      <c r="P10" s="19">
        <f t="shared" ref="P10" si="1">L10*N10</f>
        <v>16.824371199999998</v>
      </c>
      <c r="Q10" s="9" t="s">
        <v>26</v>
      </c>
      <c r="R10" s="101">
        <f>(IF(J10&lt;1,$AG$3+20,$AG$3)+40)*P10+P10*362+(D10+4)/1000*600*N10</f>
        <v>29011.280998399998</v>
      </c>
      <c r="S10" s="9" t="s">
        <v>8</v>
      </c>
      <c r="T10" s="195"/>
      <c r="U10" s="196"/>
      <c r="W10" s="39" t="s">
        <v>138</v>
      </c>
      <c r="AA10" s="39"/>
    </row>
    <row r="11" spans="1:33" s="7" customFormat="1" ht="36.75" customHeight="1" x14ac:dyDescent="0.3">
      <c r="A11" s="14">
        <v>5</v>
      </c>
      <c r="B11" s="193" t="s">
        <v>126</v>
      </c>
      <c r="C11" s="194"/>
      <c r="D11" s="16"/>
      <c r="E11" s="9" t="s">
        <v>10</v>
      </c>
      <c r="F11" s="16">
        <f>F4-18</f>
        <v>582</v>
      </c>
      <c r="G11" s="9" t="s">
        <v>10</v>
      </c>
      <c r="H11" s="16"/>
      <c r="I11" s="9" t="s">
        <v>10</v>
      </c>
      <c r="J11" s="17">
        <v>2</v>
      </c>
      <c r="K11" s="94" t="s">
        <v>25</v>
      </c>
      <c r="L11" s="18">
        <f>F11*130*J11*7.85/10^6</f>
        <v>1.187862</v>
      </c>
      <c r="M11" s="9" t="s">
        <v>26</v>
      </c>
      <c r="N11" s="16">
        <f>(N4+P4)*2</f>
        <v>4</v>
      </c>
      <c r="O11" s="9" t="s">
        <v>27</v>
      </c>
      <c r="P11" s="19">
        <f>L11*N11</f>
        <v>4.7514479999999999</v>
      </c>
      <c r="Q11" s="9" t="s">
        <v>26</v>
      </c>
      <c r="R11" s="101">
        <f>IF(AND(1.6&lt;J11,J11&lt;2),$AG$3+10,IF(AND(1.4&lt;J11,J11&lt;=1.6),$AG$3+20,IF(J11&lt;=1.4,$AG$3+40,$AG$3)))*P11+P11*365+(F11+18)/1000*550*N11</f>
        <v>7710.6975599999996</v>
      </c>
      <c r="S11" s="9" t="s">
        <v>8</v>
      </c>
      <c r="T11" s="195"/>
      <c r="U11" s="196"/>
      <c r="AA11" s="39"/>
    </row>
    <row r="12" spans="1:33" s="7" customFormat="1" ht="36.75" customHeight="1" x14ac:dyDescent="0.3">
      <c r="A12" s="14">
        <v>6</v>
      </c>
      <c r="B12" s="193" t="s">
        <v>30</v>
      </c>
      <c r="C12" s="194"/>
      <c r="D12" s="16"/>
      <c r="E12" s="9" t="s">
        <v>10</v>
      </c>
      <c r="F12" s="16">
        <f>F4+15</f>
        <v>615</v>
      </c>
      <c r="G12" s="9" t="s">
        <v>10</v>
      </c>
      <c r="H12" s="16"/>
      <c r="I12" s="9" t="s">
        <v>10</v>
      </c>
      <c r="J12" s="17">
        <v>2</v>
      </c>
      <c r="K12" s="94" t="s">
        <v>25</v>
      </c>
      <c r="L12" s="18">
        <f>F12*112*J12*7.85/10^6</f>
        <v>1.0814159999999999</v>
      </c>
      <c r="M12" s="9" t="s">
        <v>26</v>
      </c>
      <c r="N12" s="16">
        <f>(N4+P4)*J4*2-N11</f>
        <v>12</v>
      </c>
      <c r="O12" s="9" t="s">
        <v>27</v>
      </c>
      <c r="P12" s="19">
        <f>L12*N12</f>
        <v>12.976991999999999</v>
      </c>
      <c r="Q12" s="9" t="s">
        <v>26</v>
      </c>
      <c r="R12" s="101">
        <f>IF(AND(1.6&lt;J12,J12&lt;2),$AG$3+10,IF(AND(1.4&lt;J12,J12&lt;=1.6),$AG$3+20,IF(J12&lt;=1.4,$AG$3+40,$AG$3)))*P12+P12*365+(F12-15)/1000*550*N12</f>
        <v>21414.054239999998</v>
      </c>
      <c r="S12" s="9" t="s">
        <v>8</v>
      </c>
      <c r="T12" s="195"/>
      <c r="U12" s="196"/>
      <c r="AA12" s="55"/>
    </row>
    <row r="13" spans="1:33" s="7" customFormat="1" ht="36.75" customHeight="1" x14ac:dyDescent="0.3">
      <c r="A13" s="14">
        <v>7</v>
      </c>
      <c r="B13" s="125" t="s">
        <v>121</v>
      </c>
      <c r="C13" s="142"/>
      <c r="D13" s="154" t="s">
        <v>31</v>
      </c>
      <c r="E13" s="155"/>
      <c r="F13" s="155"/>
      <c r="G13" s="155"/>
      <c r="H13" s="155"/>
      <c r="I13" s="155"/>
      <c r="J13" s="155"/>
      <c r="K13" s="155"/>
      <c r="L13" s="155"/>
      <c r="M13" s="156"/>
      <c r="N13" s="16">
        <f>N7</f>
        <v>6</v>
      </c>
      <c r="O13" s="9" t="s">
        <v>27</v>
      </c>
      <c r="P13" s="19"/>
      <c r="Q13" s="9"/>
      <c r="R13" s="20">
        <f>N13*170</f>
        <v>1020</v>
      </c>
      <c r="S13" s="9" t="s">
        <v>8</v>
      </c>
      <c r="T13" s="154"/>
      <c r="U13" s="192"/>
      <c r="W13" s="21" t="s">
        <v>32</v>
      </c>
      <c r="X13" s="21" t="s">
        <v>33</v>
      </c>
      <c r="Y13" s="21" t="s">
        <v>34</v>
      </c>
      <c r="Z13" s="21" t="s">
        <v>35</v>
      </c>
    </row>
    <row r="14" spans="1:33" s="7" customFormat="1" ht="36.75" customHeight="1" x14ac:dyDescent="0.3">
      <c r="A14" s="14">
        <v>8</v>
      </c>
      <c r="B14" s="125" t="s">
        <v>36</v>
      </c>
      <c r="C14" s="142"/>
      <c r="D14" s="154" t="s">
        <v>31</v>
      </c>
      <c r="E14" s="155"/>
      <c r="F14" s="155"/>
      <c r="G14" s="155"/>
      <c r="H14" s="155"/>
      <c r="I14" s="155"/>
      <c r="J14" s="155"/>
      <c r="K14" s="155"/>
      <c r="L14" s="155"/>
      <c r="M14" s="156"/>
      <c r="N14" s="16">
        <f>N10*2</f>
        <v>16</v>
      </c>
      <c r="O14" s="9" t="s">
        <v>27</v>
      </c>
      <c r="P14" s="19"/>
      <c r="Q14" s="9"/>
      <c r="R14" s="20">
        <f>N14*110</f>
        <v>1760</v>
      </c>
      <c r="S14" s="9" t="s">
        <v>8</v>
      </c>
      <c r="T14" s="154"/>
      <c r="U14" s="192"/>
      <c r="W14" s="21" t="s">
        <v>5</v>
      </c>
      <c r="X14" s="21">
        <f>N4</f>
        <v>1</v>
      </c>
      <c r="Y14" s="21"/>
      <c r="Z14" s="21">
        <f>X14*Y14</f>
        <v>0</v>
      </c>
    </row>
    <row r="15" spans="1:33" s="7" customFormat="1" ht="36.75" customHeight="1" thickBot="1" x14ac:dyDescent="0.35">
      <c r="A15" s="14">
        <v>9</v>
      </c>
      <c r="B15" s="164" t="s">
        <v>37</v>
      </c>
      <c r="C15" s="165"/>
      <c r="D15" s="166" t="s">
        <v>31</v>
      </c>
      <c r="E15" s="167"/>
      <c r="F15" s="167"/>
      <c r="G15" s="167"/>
      <c r="H15" s="167"/>
      <c r="I15" s="167"/>
      <c r="J15" s="167"/>
      <c r="K15" s="167"/>
      <c r="L15" s="167"/>
      <c r="M15" s="168"/>
      <c r="N15" s="16"/>
      <c r="O15" s="9"/>
      <c r="P15" s="99">
        <f>SUM(P7:P14)*3%</f>
        <v>4.288485144</v>
      </c>
      <c r="Q15" s="9" t="s">
        <v>26</v>
      </c>
      <c r="R15" s="101">
        <f>$AG$3*P15</f>
        <v>4202.7154411199999</v>
      </c>
      <c r="S15" s="9" t="s">
        <v>8</v>
      </c>
      <c r="T15" s="154"/>
      <c r="U15" s="192"/>
      <c r="W15" s="21" t="s">
        <v>6</v>
      </c>
      <c r="X15" s="21">
        <f>P4</f>
        <v>1</v>
      </c>
      <c r="Y15" s="21"/>
      <c r="Z15" s="21">
        <f>X15*Y15</f>
        <v>0</v>
      </c>
    </row>
    <row r="16" spans="1:33" s="7" customFormat="1" ht="36.75" customHeight="1" thickTop="1" thickBot="1" x14ac:dyDescent="0.35">
      <c r="A16" s="171" t="s">
        <v>38</v>
      </c>
      <c r="B16" s="172"/>
      <c r="C16" s="172"/>
      <c r="D16" s="172"/>
      <c r="E16" s="172"/>
      <c r="F16" s="172"/>
      <c r="G16" s="172"/>
      <c r="H16" s="172"/>
      <c r="I16" s="172"/>
      <c r="J16" s="172"/>
      <c r="K16" s="172"/>
      <c r="L16" s="172"/>
      <c r="M16" s="173"/>
      <c r="N16" s="22">
        <f>SUM(N7:N14)</f>
        <v>76</v>
      </c>
      <c r="O16" s="23" t="s">
        <v>27</v>
      </c>
      <c r="P16" s="100">
        <f>SUM(P7:P15)</f>
        <v>147.23798994399999</v>
      </c>
      <c r="Q16" s="23" t="s">
        <v>26</v>
      </c>
      <c r="R16" s="49">
        <f>MROUND((SUM(R7:R15)+SUM(R7:R15)*T16%),10)</f>
        <v>269270</v>
      </c>
      <c r="S16" s="50" t="s">
        <v>8</v>
      </c>
      <c r="T16" s="51">
        <v>10</v>
      </c>
      <c r="U16" s="52" t="s">
        <v>65</v>
      </c>
      <c r="W16" s="174" t="s">
        <v>39</v>
      </c>
      <c r="X16" s="175"/>
      <c r="Y16" s="176"/>
      <c r="Z16" s="21">
        <f>SUM(Z14:Z15)</f>
        <v>0</v>
      </c>
    </row>
    <row r="17" spans="1:25" s="6" customFormat="1" ht="37.5" customHeight="1" x14ac:dyDescent="0.3">
      <c r="A17" s="2"/>
      <c r="B17" s="2"/>
      <c r="C17" s="2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W17" s="7"/>
    </row>
    <row r="18" spans="1:25" s="6" customFormat="1" ht="37.5" customHeight="1" x14ac:dyDescent="0.3">
      <c r="A18" s="2"/>
      <c r="B18" s="2"/>
      <c r="C18" s="2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W18" s="7"/>
    </row>
    <row r="19" spans="1:25" s="6" customFormat="1" ht="37.5" customHeight="1" x14ac:dyDescent="0.3">
      <c r="A19" s="2"/>
      <c r="B19" s="2"/>
      <c r="C19" s="2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W19" s="7"/>
    </row>
    <row r="20" spans="1:25" s="6" customFormat="1" ht="37.5" customHeight="1" x14ac:dyDescent="0.3">
      <c r="A20" s="2"/>
      <c r="B20" s="2"/>
      <c r="C20" s="2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W20" s="7"/>
      <c r="X20" s="3"/>
    </row>
    <row r="21" spans="1:25" ht="37.5" customHeight="1" x14ac:dyDescent="0.3">
      <c r="W21" s="7"/>
      <c r="Y21" s="6"/>
    </row>
    <row r="22" spans="1:25" ht="37.5" customHeight="1" x14ac:dyDescent="0.3">
      <c r="W22" s="7"/>
    </row>
    <row r="23" spans="1:25" ht="37.5" customHeight="1" x14ac:dyDescent="0.3">
      <c r="W23" s="7"/>
    </row>
    <row r="24" spans="1:25" ht="37.5" customHeight="1" x14ac:dyDescent="0.3">
      <c r="W24" s="7"/>
    </row>
    <row r="25" spans="1:25" ht="37.5" customHeight="1" x14ac:dyDescent="0.3">
      <c r="W25" s="7"/>
    </row>
    <row r="26" spans="1:25" ht="37.5" customHeight="1" x14ac:dyDescent="0.3">
      <c r="W26" s="7"/>
    </row>
    <row r="27" spans="1:25" ht="37.5" customHeight="1" x14ac:dyDescent="0.3">
      <c r="W27" s="7"/>
    </row>
    <row r="28" spans="1:25" ht="37.5" customHeight="1" x14ac:dyDescent="0.3">
      <c r="W28" s="7"/>
    </row>
    <row r="29" spans="1:25" ht="37.5" customHeight="1" x14ac:dyDescent="0.3">
      <c r="W29" s="7"/>
    </row>
    <row r="30" spans="1:25" ht="37.5" customHeight="1" x14ac:dyDescent="0.3">
      <c r="W30" s="7"/>
    </row>
    <row r="31" spans="1:25" ht="37.5" customHeight="1" x14ac:dyDescent="0.3">
      <c r="W31" s="7"/>
    </row>
    <row r="32" spans="1:25" ht="37.5" customHeight="1" x14ac:dyDescent="0.3">
      <c r="W32" s="7"/>
    </row>
    <row r="33" spans="23:23" ht="37.5" customHeight="1" x14ac:dyDescent="0.3">
      <c r="W33" s="7"/>
    </row>
    <row r="34" spans="23:23" ht="37.5" customHeight="1" x14ac:dyDescent="0.3">
      <c r="W34" s="3"/>
    </row>
  </sheetData>
  <mergeCells count="46">
    <mergeCell ref="A5:A6"/>
    <mergeCell ref="B5:C6"/>
    <mergeCell ref="D5:I5"/>
    <mergeCell ref="J5:K6"/>
    <mergeCell ref="L5:M6"/>
    <mergeCell ref="N3:O3"/>
    <mergeCell ref="P3:Q3"/>
    <mergeCell ref="R3:U3"/>
    <mergeCell ref="A4:C4"/>
    <mergeCell ref="R4:U4"/>
    <mergeCell ref="A3:C3"/>
    <mergeCell ref="D3:E3"/>
    <mergeCell ref="F3:G3"/>
    <mergeCell ref="H3:I3"/>
    <mergeCell ref="J3:K3"/>
    <mergeCell ref="L3:M3"/>
    <mergeCell ref="N5:O6"/>
    <mergeCell ref="P5:Q6"/>
    <mergeCell ref="R5:S6"/>
    <mergeCell ref="T5:U6"/>
    <mergeCell ref="D6:E6"/>
    <mergeCell ref="F6:G6"/>
    <mergeCell ref="H6:I6"/>
    <mergeCell ref="B7:C7"/>
    <mergeCell ref="T7:U7"/>
    <mergeCell ref="B8:C8"/>
    <mergeCell ref="T8:U8"/>
    <mergeCell ref="B9:C9"/>
    <mergeCell ref="T9:U9"/>
    <mergeCell ref="B10:C10"/>
    <mergeCell ref="T10:U10"/>
    <mergeCell ref="B11:C11"/>
    <mergeCell ref="T11:U11"/>
    <mergeCell ref="B12:C12"/>
    <mergeCell ref="T12:U12"/>
    <mergeCell ref="B13:C13"/>
    <mergeCell ref="D13:M13"/>
    <mergeCell ref="T13:U13"/>
    <mergeCell ref="B14:C14"/>
    <mergeCell ref="D14:M14"/>
    <mergeCell ref="T14:U14"/>
    <mergeCell ref="B15:C15"/>
    <mergeCell ref="D15:M15"/>
    <mergeCell ref="T15:U15"/>
    <mergeCell ref="A16:M16"/>
    <mergeCell ref="W16:Y16"/>
  </mergeCells>
  <phoneticPr fontId="3" type="noConversion"/>
  <printOptions horizontalCentered="1" verticalCentered="1"/>
  <pageMargins left="0.19685039370078741" right="0.19685039370078741" top="0.55118110236220474" bottom="0.35433070866141736" header="0.11811023622047245" footer="0.11811023622047245"/>
  <pageSetup paperSize="9" scale="86" orientation="landscape" vertic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D6EB7-D804-4677-99ED-F533A0E1422C}">
  <sheetPr>
    <pageSetUpPr fitToPage="1"/>
  </sheetPr>
  <dimension ref="A1:V13"/>
  <sheetViews>
    <sheetView view="pageBreakPreview" zoomScale="90" zoomScaleNormal="100" zoomScaleSheetLayoutView="90" workbookViewId="0">
      <selection activeCell="X5" sqref="X5"/>
    </sheetView>
  </sheetViews>
  <sheetFormatPr defaultColWidth="9" defaultRowHeight="37.5" customHeight="1" x14ac:dyDescent="0.3"/>
  <cols>
    <col min="1" max="1" width="4.625" style="75" customWidth="1"/>
    <col min="2" max="2" width="16.875" style="75" customWidth="1"/>
    <col min="3" max="3" width="5.875" style="76" customWidth="1"/>
    <col min="4" max="4" width="4.125" style="76" customWidth="1"/>
    <col min="5" max="5" width="5.875" style="76" customWidth="1"/>
    <col min="6" max="6" width="4.125" style="76" customWidth="1"/>
    <col min="7" max="7" width="5.875" style="76" customWidth="1"/>
    <col min="8" max="8" width="4.125" style="76" customWidth="1"/>
    <col min="9" max="9" width="8.375" style="76" customWidth="1"/>
    <col min="10" max="10" width="4.375" style="76" customWidth="1"/>
    <col min="11" max="11" width="8.25" style="76" customWidth="1"/>
    <col min="12" max="12" width="4.375" style="76" customWidth="1"/>
    <col min="13" max="13" width="7.875" style="76" customWidth="1"/>
    <col min="14" max="14" width="4.375" style="76" customWidth="1"/>
    <col min="15" max="15" width="9.125" style="76" customWidth="1"/>
    <col min="16" max="16" width="4.375" style="76" customWidth="1"/>
    <col min="17" max="17" width="8.125" style="76" customWidth="1"/>
    <col min="18" max="18" width="7.25" style="76" customWidth="1"/>
    <col min="19" max="19" width="12.125" style="76" customWidth="1"/>
    <col min="20" max="20" width="4.375" style="76" customWidth="1"/>
    <col min="21" max="22" width="5.5" style="76" customWidth="1"/>
    <col min="23" max="29" width="9" style="76"/>
    <col min="30" max="30" width="9.375" style="76" bestFit="1" customWidth="1"/>
    <col min="31" max="32" width="9" style="76"/>
    <col min="33" max="33" width="9" style="76" customWidth="1"/>
    <col min="34" max="16384" width="9" style="76"/>
  </cols>
  <sheetData>
    <row r="1" spans="1:22" s="79" customFormat="1" ht="37.5" customHeight="1" x14ac:dyDescent="0.3">
      <c r="A1" s="1" t="s">
        <v>135</v>
      </c>
      <c r="B1" s="75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7"/>
      <c r="P1" s="77"/>
      <c r="Q1" s="76"/>
      <c r="R1" s="85"/>
      <c r="S1" s="88"/>
      <c r="T1" s="78"/>
      <c r="U1" s="78"/>
      <c r="V1" s="78"/>
    </row>
    <row r="2" spans="1:22" s="79" customFormat="1" ht="37.5" customHeight="1" thickBot="1" x14ac:dyDescent="0.35">
      <c r="A2" s="84"/>
      <c r="B2" s="75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7"/>
      <c r="P2" s="77"/>
      <c r="Q2" s="76"/>
      <c r="R2" s="85"/>
      <c r="S2" s="88"/>
      <c r="T2" s="78"/>
      <c r="U2" s="89"/>
      <c r="V2" s="89"/>
    </row>
    <row r="3" spans="1:22" s="80" customFormat="1" ht="37.5" customHeight="1" x14ac:dyDescent="0.3">
      <c r="A3" s="234" t="s">
        <v>16</v>
      </c>
      <c r="B3" s="236" t="s">
        <v>17</v>
      </c>
      <c r="C3" s="238" t="s">
        <v>79</v>
      </c>
      <c r="D3" s="239"/>
      <c r="E3" s="239"/>
      <c r="F3" s="239"/>
      <c r="G3" s="239"/>
      <c r="H3" s="239"/>
      <c r="I3" s="239"/>
      <c r="J3" s="240"/>
      <c r="K3" s="222" t="s">
        <v>20</v>
      </c>
      <c r="L3" s="241"/>
      <c r="M3" s="226" t="s">
        <v>21</v>
      </c>
      <c r="N3" s="223"/>
      <c r="O3" s="222" t="s">
        <v>22</v>
      </c>
      <c r="P3" s="241"/>
      <c r="Q3" s="222" t="s">
        <v>80</v>
      </c>
      <c r="R3" s="223"/>
      <c r="S3" s="222" t="s">
        <v>23</v>
      </c>
      <c r="T3" s="223"/>
      <c r="U3" s="226" t="s">
        <v>47</v>
      </c>
      <c r="V3" s="227"/>
    </row>
    <row r="4" spans="1:22" s="80" customFormat="1" ht="37.5" customHeight="1" x14ac:dyDescent="0.3">
      <c r="A4" s="235"/>
      <c r="B4" s="237"/>
      <c r="C4" s="230" t="s">
        <v>18</v>
      </c>
      <c r="D4" s="231"/>
      <c r="E4" s="231"/>
      <c r="F4" s="231"/>
      <c r="G4" s="231"/>
      <c r="H4" s="232"/>
      <c r="I4" s="228" t="s">
        <v>81</v>
      </c>
      <c r="J4" s="233"/>
      <c r="K4" s="228"/>
      <c r="L4" s="233"/>
      <c r="M4" s="224"/>
      <c r="N4" s="225"/>
      <c r="O4" s="228"/>
      <c r="P4" s="233"/>
      <c r="Q4" s="224"/>
      <c r="R4" s="225"/>
      <c r="S4" s="224"/>
      <c r="T4" s="225"/>
      <c r="U4" s="228"/>
      <c r="V4" s="229"/>
    </row>
    <row r="5" spans="1:22" s="80" customFormat="1" ht="37.5" customHeight="1" x14ac:dyDescent="0.3">
      <c r="A5" s="81">
        <v>1</v>
      </c>
      <c r="B5" s="58" t="s">
        <v>85</v>
      </c>
      <c r="C5" s="86">
        <v>200</v>
      </c>
      <c r="D5" s="87" t="s">
        <v>10</v>
      </c>
      <c r="E5" s="86">
        <v>40</v>
      </c>
      <c r="F5" s="83" t="s">
        <v>10</v>
      </c>
      <c r="G5" s="90">
        <v>2.2999999999999998</v>
      </c>
      <c r="H5" s="83" t="s">
        <v>25</v>
      </c>
      <c r="I5" s="91">
        <v>5000</v>
      </c>
      <c r="J5" s="83" t="s">
        <v>10</v>
      </c>
      <c r="K5" s="93">
        <f>I5*(C5+103)*G5*8/10^6</f>
        <v>27.875999999999998</v>
      </c>
      <c r="L5" s="60" t="s">
        <v>26</v>
      </c>
      <c r="M5" s="67">
        <v>1</v>
      </c>
      <c r="N5" s="60" t="s">
        <v>27</v>
      </c>
      <c r="O5" s="62">
        <f t="shared" ref="O5:O12" si="0">K5*M5</f>
        <v>27.875999999999998</v>
      </c>
      <c r="P5" s="60" t="s">
        <v>26</v>
      </c>
      <c r="Q5" s="69">
        <f>MROUND((33800/5000)*I5,10)</f>
        <v>33800</v>
      </c>
      <c r="R5" s="103" t="s">
        <v>82</v>
      </c>
      <c r="S5" s="69">
        <f>M5*Q5</f>
        <v>33800</v>
      </c>
      <c r="T5" s="60" t="s">
        <v>8</v>
      </c>
      <c r="U5" s="210" t="s">
        <v>83</v>
      </c>
      <c r="V5" s="211"/>
    </row>
    <row r="6" spans="1:22" s="80" customFormat="1" ht="37.5" customHeight="1" x14ac:dyDescent="0.3">
      <c r="A6" s="81">
        <v>2</v>
      </c>
      <c r="B6" s="58" t="s">
        <v>88</v>
      </c>
      <c r="C6" s="86">
        <v>200</v>
      </c>
      <c r="D6" s="87" t="s">
        <v>10</v>
      </c>
      <c r="E6" s="86">
        <v>40</v>
      </c>
      <c r="F6" s="83" t="s">
        <v>10</v>
      </c>
      <c r="G6" s="90">
        <v>2.2999999999999998</v>
      </c>
      <c r="H6" s="83" t="s">
        <v>25</v>
      </c>
      <c r="I6" s="91">
        <v>5000</v>
      </c>
      <c r="J6" s="83" t="s">
        <v>10</v>
      </c>
      <c r="K6" s="93">
        <f t="shared" ref="K6:K8" si="1">I6*(C6+103)*G6*8/10^6</f>
        <v>27.875999999999998</v>
      </c>
      <c r="L6" s="60" t="s">
        <v>26</v>
      </c>
      <c r="M6" s="67">
        <v>1</v>
      </c>
      <c r="N6" s="60" t="s">
        <v>27</v>
      </c>
      <c r="O6" s="62">
        <f t="shared" si="0"/>
        <v>27.875999999999998</v>
      </c>
      <c r="P6" s="60" t="s">
        <v>26</v>
      </c>
      <c r="Q6" s="69">
        <f>MROUND(((34800)/5000)*I6,10)</f>
        <v>34800</v>
      </c>
      <c r="R6" s="103" t="s">
        <v>82</v>
      </c>
      <c r="S6" s="69">
        <f>M6*Q6</f>
        <v>34800</v>
      </c>
      <c r="T6" s="60" t="s">
        <v>8</v>
      </c>
      <c r="U6" s="212"/>
      <c r="V6" s="213"/>
    </row>
    <row r="7" spans="1:22" s="80" customFormat="1" ht="37.5" customHeight="1" x14ac:dyDescent="0.3">
      <c r="A7" s="81">
        <v>3</v>
      </c>
      <c r="B7" s="58" t="s">
        <v>86</v>
      </c>
      <c r="C7" s="86">
        <v>200</v>
      </c>
      <c r="D7" s="87" t="s">
        <v>10</v>
      </c>
      <c r="E7" s="86">
        <v>40</v>
      </c>
      <c r="F7" s="83" t="s">
        <v>10</v>
      </c>
      <c r="G7" s="90">
        <v>2.2999999999999998</v>
      </c>
      <c r="H7" s="83" t="s">
        <v>25</v>
      </c>
      <c r="I7" s="91">
        <v>5000</v>
      </c>
      <c r="J7" s="83" t="s">
        <v>10</v>
      </c>
      <c r="K7" s="93">
        <f t="shared" si="1"/>
        <v>27.875999999999998</v>
      </c>
      <c r="L7" s="60" t="s">
        <v>26</v>
      </c>
      <c r="M7" s="67">
        <v>1</v>
      </c>
      <c r="N7" s="60" t="s">
        <v>27</v>
      </c>
      <c r="O7" s="62">
        <f t="shared" si="0"/>
        <v>27.875999999999998</v>
      </c>
      <c r="P7" s="60" t="s">
        <v>26</v>
      </c>
      <c r="Q7" s="69">
        <f>MROUND(((34800)/5000)*I7,10)</f>
        <v>34800</v>
      </c>
      <c r="R7" s="103" t="s">
        <v>82</v>
      </c>
      <c r="S7" s="69">
        <f>M7*Q7</f>
        <v>34800</v>
      </c>
      <c r="T7" s="60" t="s">
        <v>8</v>
      </c>
      <c r="U7" s="210" t="s">
        <v>84</v>
      </c>
      <c r="V7" s="211"/>
    </row>
    <row r="8" spans="1:22" s="80" customFormat="1" ht="37.5" customHeight="1" x14ac:dyDescent="0.3">
      <c r="A8" s="81">
        <v>4</v>
      </c>
      <c r="B8" s="58" t="s">
        <v>87</v>
      </c>
      <c r="C8" s="86">
        <v>200</v>
      </c>
      <c r="D8" s="87" t="s">
        <v>10</v>
      </c>
      <c r="E8" s="86">
        <v>40</v>
      </c>
      <c r="F8" s="83" t="s">
        <v>10</v>
      </c>
      <c r="G8" s="90">
        <v>2.2999999999999998</v>
      </c>
      <c r="H8" s="83" t="s">
        <v>25</v>
      </c>
      <c r="I8" s="91">
        <v>5000</v>
      </c>
      <c r="J8" s="83" t="s">
        <v>10</v>
      </c>
      <c r="K8" s="93">
        <f t="shared" si="1"/>
        <v>27.875999999999998</v>
      </c>
      <c r="L8" s="60" t="s">
        <v>26</v>
      </c>
      <c r="M8" s="67">
        <v>1</v>
      </c>
      <c r="N8" s="60" t="s">
        <v>27</v>
      </c>
      <c r="O8" s="62">
        <f t="shared" si="0"/>
        <v>27.875999999999998</v>
      </c>
      <c r="P8" s="60" t="s">
        <v>26</v>
      </c>
      <c r="Q8" s="69">
        <f>MROUND(((35800)/5000)*I8,10)</f>
        <v>35800</v>
      </c>
      <c r="R8" s="103" t="s">
        <v>82</v>
      </c>
      <c r="S8" s="69">
        <f>M8*Q8</f>
        <v>35800</v>
      </c>
      <c r="T8" s="60" t="s">
        <v>8</v>
      </c>
      <c r="U8" s="212"/>
      <c r="V8" s="213"/>
    </row>
    <row r="9" spans="1:22" s="80" customFormat="1" ht="37.5" customHeight="1" x14ac:dyDescent="0.3">
      <c r="A9" s="81">
        <v>5</v>
      </c>
      <c r="B9" s="58" t="s">
        <v>91</v>
      </c>
      <c r="C9" s="92">
        <v>100</v>
      </c>
      <c r="D9" s="87" t="s">
        <v>10</v>
      </c>
      <c r="E9" s="86">
        <v>40</v>
      </c>
      <c r="F9" s="83" t="s">
        <v>10</v>
      </c>
      <c r="G9" s="90">
        <v>2.2999999999999998</v>
      </c>
      <c r="H9" s="83" t="s">
        <v>25</v>
      </c>
      <c r="I9" s="82">
        <v>2438</v>
      </c>
      <c r="J9" s="83" t="s">
        <v>10</v>
      </c>
      <c r="K9" s="93">
        <f>I9*((E9-3)+C9+E9)*G9*8/10^6</f>
        <v>7.9400783999999991</v>
      </c>
      <c r="L9" s="60" t="s">
        <v>26</v>
      </c>
      <c r="M9" s="67">
        <v>1</v>
      </c>
      <c r="N9" s="60" t="s">
        <v>27</v>
      </c>
      <c r="O9" s="62">
        <f t="shared" si="0"/>
        <v>7.9400783999999991</v>
      </c>
      <c r="P9" s="60" t="s">
        <v>26</v>
      </c>
      <c r="Q9" s="69">
        <f>MROUND(K9*1860,10)</f>
        <v>14770</v>
      </c>
      <c r="R9" s="103" t="s">
        <v>82</v>
      </c>
      <c r="S9" s="69">
        <f t="shared" ref="S9:S12" si="2">M9*Q9</f>
        <v>14770</v>
      </c>
      <c r="T9" s="60" t="s">
        <v>8</v>
      </c>
      <c r="U9" s="181"/>
      <c r="V9" s="214"/>
    </row>
    <row r="10" spans="1:22" s="80" customFormat="1" ht="37.5" customHeight="1" x14ac:dyDescent="0.3">
      <c r="A10" s="81">
        <v>6</v>
      </c>
      <c r="B10" s="58" t="s">
        <v>92</v>
      </c>
      <c r="C10" s="92">
        <v>100</v>
      </c>
      <c r="D10" s="87" t="s">
        <v>10</v>
      </c>
      <c r="E10" s="86">
        <v>40</v>
      </c>
      <c r="F10" s="83" t="s">
        <v>10</v>
      </c>
      <c r="G10" s="87">
        <v>2.2999999999999998</v>
      </c>
      <c r="H10" s="83" t="s">
        <v>25</v>
      </c>
      <c r="I10" s="82">
        <v>2438</v>
      </c>
      <c r="J10" s="83" t="s">
        <v>10</v>
      </c>
      <c r="K10" s="93">
        <f>I10*(C10+E10)*G10*8/10^6</f>
        <v>6.2802879999999988</v>
      </c>
      <c r="L10" s="60" t="s">
        <v>26</v>
      </c>
      <c r="M10" s="67">
        <v>1</v>
      </c>
      <c r="N10" s="60" t="s">
        <v>27</v>
      </c>
      <c r="O10" s="62">
        <f t="shared" si="0"/>
        <v>6.2802879999999988</v>
      </c>
      <c r="P10" s="60" t="s">
        <v>26</v>
      </c>
      <c r="Q10" s="69">
        <f>MROUND(K10*1860,10)</f>
        <v>11680</v>
      </c>
      <c r="R10" s="103" t="s">
        <v>82</v>
      </c>
      <c r="S10" s="69">
        <f t="shared" si="2"/>
        <v>11680</v>
      </c>
      <c r="T10" s="60" t="s">
        <v>8</v>
      </c>
      <c r="U10" s="181"/>
      <c r="V10" s="214"/>
    </row>
    <row r="11" spans="1:22" s="80" customFormat="1" ht="37.5" customHeight="1" x14ac:dyDescent="0.3">
      <c r="A11" s="81">
        <v>7</v>
      </c>
      <c r="B11" s="58" t="s">
        <v>93</v>
      </c>
      <c r="C11" s="86">
        <v>30</v>
      </c>
      <c r="D11" s="87" t="s">
        <v>10</v>
      </c>
      <c r="E11" s="86">
        <v>40</v>
      </c>
      <c r="F11" s="83" t="s">
        <v>10</v>
      </c>
      <c r="G11" s="87">
        <v>2.2999999999999998</v>
      </c>
      <c r="H11" s="83" t="s">
        <v>25</v>
      </c>
      <c r="I11" s="82">
        <v>2438</v>
      </c>
      <c r="J11" s="83" t="s">
        <v>10</v>
      </c>
      <c r="K11" s="93">
        <f>I11*(C11+E11)*G11*8/10^6</f>
        <v>3.1401439999999994</v>
      </c>
      <c r="L11" s="60" t="s">
        <v>26</v>
      </c>
      <c r="M11" s="67">
        <v>1</v>
      </c>
      <c r="N11" s="60" t="s">
        <v>27</v>
      </c>
      <c r="O11" s="62">
        <f t="shared" si="0"/>
        <v>3.1401439999999994</v>
      </c>
      <c r="P11" s="60" t="s">
        <v>26</v>
      </c>
      <c r="Q11" s="69">
        <f>MROUND(K11*1410,10)</f>
        <v>4430</v>
      </c>
      <c r="R11" s="103" t="s">
        <v>82</v>
      </c>
      <c r="S11" s="69">
        <f t="shared" si="2"/>
        <v>4430</v>
      </c>
      <c r="T11" s="60" t="s">
        <v>8</v>
      </c>
      <c r="U11" s="181"/>
      <c r="V11" s="214"/>
    </row>
    <row r="12" spans="1:22" s="80" customFormat="1" ht="37.5" customHeight="1" thickBot="1" x14ac:dyDescent="0.35">
      <c r="A12" s="81">
        <v>8</v>
      </c>
      <c r="B12" s="58" t="s">
        <v>93</v>
      </c>
      <c r="C12" s="86">
        <v>40</v>
      </c>
      <c r="D12" s="87" t="s">
        <v>10</v>
      </c>
      <c r="E12" s="86">
        <v>40</v>
      </c>
      <c r="F12" s="83" t="s">
        <v>10</v>
      </c>
      <c r="G12" s="87">
        <v>2.2999999999999998</v>
      </c>
      <c r="H12" s="83" t="s">
        <v>25</v>
      </c>
      <c r="I12" s="82">
        <v>2438</v>
      </c>
      <c r="J12" s="83" t="s">
        <v>10</v>
      </c>
      <c r="K12" s="93">
        <f>I12*(C12+E12)*G12*8/10^6</f>
        <v>3.5887359999999995</v>
      </c>
      <c r="L12" s="60" t="s">
        <v>26</v>
      </c>
      <c r="M12" s="67">
        <v>1</v>
      </c>
      <c r="N12" s="60" t="s">
        <v>27</v>
      </c>
      <c r="O12" s="62">
        <f t="shared" si="0"/>
        <v>3.5887359999999995</v>
      </c>
      <c r="P12" s="60" t="s">
        <v>26</v>
      </c>
      <c r="Q12" s="69">
        <f>MROUND(K12*1410,10)</f>
        <v>5060</v>
      </c>
      <c r="R12" s="103" t="s">
        <v>82</v>
      </c>
      <c r="S12" s="69">
        <f t="shared" si="2"/>
        <v>5060</v>
      </c>
      <c r="T12" s="60" t="s">
        <v>8</v>
      </c>
      <c r="U12" s="181"/>
      <c r="V12" s="214"/>
    </row>
    <row r="13" spans="1:22" s="80" customFormat="1" ht="37.5" customHeight="1" thickTop="1" thickBot="1" x14ac:dyDescent="0.35">
      <c r="A13" s="215" t="s">
        <v>38</v>
      </c>
      <c r="B13" s="216"/>
      <c r="C13" s="216"/>
      <c r="D13" s="216"/>
      <c r="E13" s="216"/>
      <c r="F13" s="216"/>
      <c r="G13" s="216"/>
      <c r="H13" s="216"/>
      <c r="I13" s="216"/>
      <c r="J13" s="216"/>
      <c r="K13" s="216"/>
      <c r="L13" s="217"/>
      <c r="M13" s="105">
        <f>SUM(M5:M12)</f>
        <v>8</v>
      </c>
      <c r="N13" s="106" t="s">
        <v>27</v>
      </c>
      <c r="O13" s="107">
        <f>SUM(O5:O12)</f>
        <v>132.45324640000001</v>
      </c>
      <c r="P13" s="108" t="s">
        <v>26</v>
      </c>
      <c r="Q13" s="218">
        <f>SUM(S5:S12)</f>
        <v>175140</v>
      </c>
      <c r="R13" s="219"/>
      <c r="S13" s="219"/>
      <c r="T13" s="109" t="s">
        <v>8</v>
      </c>
      <c r="U13" s="220"/>
      <c r="V13" s="221"/>
    </row>
  </sheetData>
  <mergeCells count="20">
    <mergeCell ref="A13:L13"/>
    <mergeCell ref="Q13:S13"/>
    <mergeCell ref="U13:V13"/>
    <mergeCell ref="Q3:R4"/>
    <mergeCell ref="S3:T4"/>
    <mergeCell ref="U3:V4"/>
    <mergeCell ref="C4:H4"/>
    <mergeCell ref="I4:J4"/>
    <mergeCell ref="U5:V6"/>
    <mergeCell ref="A3:A4"/>
    <mergeCell ref="B3:B4"/>
    <mergeCell ref="C3:J3"/>
    <mergeCell ref="K3:L4"/>
    <mergeCell ref="M3:N4"/>
    <mergeCell ref="O3:P4"/>
    <mergeCell ref="U7:V8"/>
    <mergeCell ref="U9:V9"/>
    <mergeCell ref="U10:V10"/>
    <mergeCell ref="U11:V11"/>
    <mergeCell ref="U12:V12"/>
  </mergeCells>
  <phoneticPr fontId="3" type="noConversion"/>
  <printOptions horizontalCentered="1" verticalCentered="1"/>
  <pageMargins left="0.19685039370078741" right="0.19685039370078741" top="0.55118110236220474" bottom="0.35433070866141736" header="0.11811023622047245" footer="0.11811023622047245"/>
  <pageSetup paperSize="9" scale="9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9</vt:i4>
      </vt:variant>
      <vt:variant>
        <vt:lpstr>이름 지정된 범위</vt:lpstr>
      </vt:variant>
      <vt:variant>
        <vt:i4>9</vt:i4>
      </vt:variant>
    </vt:vector>
  </HeadingPairs>
  <TitlesOfParts>
    <vt:vector size="18" baseType="lpstr">
      <vt:lpstr>일반 파렛트랙</vt:lpstr>
      <vt:lpstr>용접타이빔 파렛트랙</vt:lpstr>
      <vt:lpstr>선반형(앵글용접형) 파렛트랙</vt:lpstr>
      <vt:lpstr>선반형(스텝로드빔) 파렛트랙</vt:lpstr>
      <vt:lpstr>홀더</vt:lpstr>
      <vt:lpstr>경량랙</vt:lpstr>
      <vt:lpstr>중량랙</vt:lpstr>
      <vt:lpstr>오메가 기둥 중량랙</vt:lpstr>
      <vt:lpstr>데크, 데크마감재</vt:lpstr>
      <vt:lpstr>경량랙!Print_Area</vt:lpstr>
      <vt:lpstr>'데크, 데크마감재'!Print_Area</vt:lpstr>
      <vt:lpstr>'선반형(스텝로드빔) 파렛트랙'!Print_Area</vt:lpstr>
      <vt:lpstr>'선반형(앵글용접형) 파렛트랙'!Print_Area</vt:lpstr>
      <vt:lpstr>'오메가 기둥 중량랙'!Print_Area</vt:lpstr>
      <vt:lpstr>'용접타이빔 파렛트랙'!Print_Area</vt:lpstr>
      <vt:lpstr>'일반 파렛트랙'!Print_Area</vt:lpstr>
      <vt:lpstr>중량랙!Print_Area</vt:lpstr>
      <vt:lpstr>홀더!Print_Area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com</cp:lastModifiedBy>
  <cp:lastPrinted>2023-12-29T04:24:09Z</cp:lastPrinted>
  <dcterms:created xsi:type="dcterms:W3CDTF">2020-04-24T05:47:36Z</dcterms:created>
  <dcterms:modified xsi:type="dcterms:W3CDTF">2026-07-28T01:52:51Z</dcterms:modified>
</cp:coreProperties>
</file>